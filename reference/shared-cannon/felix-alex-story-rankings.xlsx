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Stories Ranked" sheetId="1" state="visible" r:id="rId3"/>
    <sheet name="Criteria &amp; Method" sheetId="2" state="visible" r:id="rId4"/>
    <sheet name="New Discoveries" sheetId="3" state="visible" r:id="rId5"/>
  </sheets>
  <definedNames>
    <definedName function="false" hidden="true" localSheetId="0" name="_xlnm._FilterDatabase" vbProcedure="false">'All Stories Ranked'!$A$1:$Q$86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<sst xmlns="http://schemas.openxmlformats.org/spreadsheetml/2006/main" count="680" uniqueCount="250">
  <si>
    <t xml:space="preserve">Rank</t>
  </si>
  <si>
    <t xml:space="preserve">Story</t>
  </si>
  <si>
    <t xml:space="preserve">Series</t>
  </si>
  <si>
    <t xml:space="preserve">Tier</t>
  </si>
  <si>
    <t xml:space="preserve">Score</t>
  </si>
  <si>
    <t xml:space="preserve">Affirm</t>
  </si>
  <si>
    <t xml:space="preserve">Emotion</t>
  </si>
  <si>
    <t xml:space="preserve">Enjoy</t>
  </si>
  <si>
    <t xml:space="preserve">Audio</t>
  </si>
  <si>
    <t xml:space="preserve">Craft</t>
  </si>
  <si>
    <t xml:space="preserve">Words</t>
  </si>
  <si>
    <t xml:space="preserve">~Mins</t>
  </si>
  <si>
    <t xml:space="preserve">Date</t>
  </si>
  <si>
    <t xml:space="preserve">Source chat</t>
  </si>
  <si>
    <t xml:space="preserve">Reviewed</t>
  </si>
  <si>
    <t xml:space="preserve">In archive?</t>
  </si>
  <si>
    <t xml:space="preserve">Notes</t>
  </si>
  <si>
    <t xml:space="preserve">The Case of the Borrowed Smiles</t>
  </si>
  <si>
    <t xml:space="preserve">A</t>
  </si>
  <si>
    <t xml:space="preserve">2026-06-18</t>
  </si>
  <si>
    <t xml:space="preserve">Alex's truth-telling smile power</t>
  </si>
  <si>
    <t xml:space="preserve">✓</t>
  </si>
  <si>
    <t xml:space="preserve">Yes</t>
  </si>
  <si>
    <t xml:space="preserve">Four crisp affirmations. 'Catch smiles by giving them away.'</t>
  </si>
  <si>
    <t xml:space="preserve">The Big Kids Club</t>
  </si>
  <si>
    <t xml:space="preserve">Adventure/Best-Friends Club</t>
  </si>
  <si>
    <t xml:space="preserve">2025-12-16</t>
  </si>
  <si>
    <t xml:space="preserve">Felix and Alex's adventure group</t>
  </si>
  <si>
    <t xml:space="preserve">DISCOVERY. Inclusion/apology/not excluding friends. Different cast texture (Nana Rose) but top-tier values.</t>
  </si>
  <si>
    <t xml:space="preserve">Winchester and the Laser Tag Mystery</t>
  </si>
  <si>
    <t xml:space="preserve">Winchester the Bear</t>
  </si>
  <si>
    <t xml:space="preserve">2026-06-19</t>
  </si>
  <si>
    <t xml:space="preserve">Winchester the teddy bear and laser tag guns</t>
  </si>
  <si>
    <t xml:space="preserve">DISCOVERY. 'Asking is braver than force.' Sharing opens doors. Excellent.</t>
  </si>
  <si>
    <t xml:space="preserve">Case File #31: The Scarecrow Who Forgot His Name</t>
  </si>
  <si>
    <t xml:space="preserve">Trio Force (Case Files)</t>
  </si>
  <si>
    <t xml:space="preserve">2026-07-04</t>
  </si>
  <si>
    <t xml:space="preserve">Cross-story research adventure</t>
  </si>
  <si>
    <t xml:space="preserve">Loneliness-not-scariness. Naming as kindness. Read &amp; confirmed.</t>
  </si>
  <si>
    <t xml:space="preserve">The Wrong Powers</t>
  </si>
  <si>
    <t xml:space="preserve">2026-06-09</t>
  </si>
  <si>
    <t xml:space="preserve">Felix and friends with the wrong powers</t>
  </si>
  <si>
    <t xml:space="preserve">Powers swap = empathy lesson. Automated under-scored affirm/emotion.</t>
  </si>
  <si>
    <t xml:space="preserve">The Troll Who Forgot How To Laugh</t>
  </si>
  <si>
    <t xml:space="preserve">2026-04-23</t>
  </si>
  <si>
    <t xml:space="preserve">Felix and Amelia save Halloween from the troll</t>
  </si>
  <si>
    <t xml:space="preserve">Model sad-before-bad. Automated under-scored audio (long free-verse tail); still excellent.</t>
  </si>
  <si>
    <t xml:space="preserve">Felix, Alex and the Tiny Sailor of Eastbourne</t>
  </si>
  <si>
    <t xml:space="preserve">2026-07-05</t>
  </si>
  <si>
    <t xml:space="preserve">Alex and Felix's Eastbourne beach adventure</t>
  </si>
  <si>
    <t xml:space="preserve">Self-acceptance: 'use who you are.' Real place.</t>
  </si>
  <si>
    <t xml:space="preserve">The Big School Adventure</t>
  </si>
  <si>
    <t xml:space="preserve">DISCOVERY. Starting-school nerves handled beautifully. Directly useful for the boys' real life.</t>
  </si>
  <si>
    <t xml:space="preserve">The Mixed-Up Birthday Magic</t>
  </si>
  <si>
    <t xml:space="preserve">DISCOVERY. Birthday-magic mix-up; sharing/gratitude.</t>
  </si>
  <si>
    <t xml:space="preserve">The Wishing Tree Express</t>
  </si>
  <si>
    <t xml:space="preserve">DISCOVERY. Strong warmth. Needs a confirming read for canon-fit.</t>
  </si>
  <si>
    <t xml:space="preserve">The Five-Year-Olds Only Club</t>
  </si>
  <si>
    <t xml:space="preserve">The Famous Five / Mean Santa</t>
  </si>
  <si>
    <t xml:space="preserve">DISCOVERY. Companion to Big Kids Club — inclusion theme. Possible near-duplicate; compare.</t>
  </si>
  <si>
    <t xml:space="preserve">When Theo Had to Move Away</t>
  </si>
  <si>
    <t xml:space="preserve">DISCOVERY. Friendship &amp; moving/loss. Big feelings, gently done.</t>
  </si>
  <si>
    <t xml:space="preserve">The Summer the Forest Woke Up</t>
  </si>
  <si>
    <t xml:space="preserve">2026-06-12</t>
  </si>
  <si>
    <t xml:space="preserve">Felix and Alex's forest summer adventures</t>
  </si>
  <si>
    <t xml:space="preserve">No villain. Effort, own pace, 'today is enough.' Very healthy.</t>
  </si>
  <si>
    <t xml:space="preserve">The Path Alex Found</t>
  </si>
  <si>
    <t xml:space="preserve">Forest/OSET companion to 'Summer Forest Woke Up'. Effort &amp; mastery.</t>
  </si>
  <si>
    <t xml:space="preserve">Trio Force — Akta Sprawy #33</t>
  </si>
  <si>
    <t xml:space="preserve">2026-05-15</t>
  </si>
  <si>
    <t xml:space="preserve">Nowa historia z czasowymi mocami</t>
  </si>
  <si>
    <t xml:space="preserve">POLISH. Automated tanked it (English regex). Actually strong; Victor returns &amp; grows. Keep as bilingual asset.</t>
  </si>
  <si>
    <t xml:space="preserve">The Library Keeper's Lost Words</t>
  </si>
  <si>
    <t xml:space="preserve">auto</t>
  </si>
  <si>
    <t xml:space="preserve">Harry Joins the Adventure Club</t>
  </si>
  <si>
    <t xml:space="preserve">DISCOVERY. Inclusion of a new friend. NB 'Harry' is a one-off guest — check canon fit.</t>
  </si>
  <si>
    <t xml:space="preserve">The Secret of Miller's Cottage</t>
  </si>
  <si>
    <t xml:space="preserve">DISCOVERY. Longer grounded mystery. Read to confirm.</t>
  </si>
  <si>
    <t xml:space="preserve">The Adventure of the Missing Cake</t>
  </si>
  <si>
    <t xml:space="preserve">2026-07-01</t>
  </si>
  <si>
    <t xml:space="preserve">The missing cake fairy adventure</t>
  </si>
  <si>
    <t xml:space="preserve">Empathy for hungry hedgehog; fix-a-mistake-kindly.</t>
  </si>
  <si>
    <t xml:space="preserve">The Polish Adventure</t>
  </si>
  <si>
    <t xml:space="preserve">The Case of the Colour That Went Quiet</t>
  </si>
  <si>
    <t xml:space="preserve">2026-05-06</t>
  </si>
  <si>
    <t xml:space="preserve">Alex's family story</t>
  </si>
  <si>
    <t xml:space="preserve">The Day Before Tomorrow</t>
  </si>
  <si>
    <t xml:space="preserve">DISCOVERY. Patience/anticipation theme. Confirm on read.</t>
  </si>
  <si>
    <t xml:space="preserve">TRIO FORCE CASE FILE #32</t>
  </si>
  <si>
    <t xml:space="preserve">2026-06-10</t>
  </si>
  <si>
    <t xml:space="preserve">Cloned heroes versus multipowered villain</t>
  </si>
  <si>
    <t xml:space="preserve">The Case of the Missing Teddy Bears</t>
  </si>
  <si>
    <t xml:space="preserve">DISCOVERY. Solid mystery, kind resolution. Confirm on read.</t>
  </si>
  <si>
    <t xml:space="preserve">The Great Sock Monster Hunt</t>
  </si>
  <si>
    <t xml:space="preserve">DISCOVERY. Fun household mystery. Lighter on affirmation.</t>
  </si>
  <si>
    <t xml:space="preserve">TRIO FORCE — CASE FILE #1</t>
  </si>
  <si>
    <t xml:space="preserve">Three-person superhero team adventures</t>
  </si>
  <si>
    <t xml:space="preserve">Origin story. Introduces team, powers, HQ. Good first listen.</t>
  </si>
  <si>
    <t xml:space="preserve">The Backwards Growing Potion</t>
  </si>
  <si>
    <t xml:space="preserve">Crystal / Singers cluster</t>
  </si>
  <si>
    <t xml:space="preserve">2025-12-18</t>
  </si>
  <si>
    <t xml:space="preserve">Felix and the crystal singers</t>
  </si>
  <si>
    <t xml:space="preserve">Felix, Alex, and the Venom Dragon of Minecdraft</t>
  </si>
  <si>
    <t xml:space="preserve">2026-05-17</t>
  </si>
  <si>
    <t xml:space="preserve">(untitled chat)</t>
  </si>
  <si>
    <t xml:space="preserve">Felix's own pitch. 'The right amount.' High enjoyment.</t>
  </si>
  <si>
    <t xml:space="preserve">The Sky Runner's Discovery</t>
  </si>
  <si>
    <t xml:space="preserve">B</t>
  </si>
  <si>
    <t xml:space="preserve">The crystal garden discovery</t>
  </si>
  <si>
    <t xml:space="preserve">When Only the Birds Could Help</t>
  </si>
  <si>
    <t xml:space="preserve">Crystal cluster. Solid.</t>
  </si>
  <si>
    <t xml:space="preserve">The Gentle Giant's Problem</t>
  </si>
  <si>
    <t xml:space="preserve">Crystal cluster. Warm; gentle-giant sadness.</t>
  </si>
  <si>
    <t xml:space="preserve">The Crystal Garden Discovery</t>
  </si>
  <si>
    <t xml:space="preserve">The Day Violet's Magic Disappeared</t>
  </si>
  <si>
    <t xml:space="preserve">Crystal cluster. Good but overlaps with 'Magic Went Silent'.</t>
  </si>
  <si>
    <t xml:space="preserve">The Day Magic Went Silent</t>
  </si>
  <si>
    <t xml:space="preserve">Strong of the crystal cluster. Several siblings repeat the same beat — pick 1-2, not all.</t>
  </si>
  <si>
    <t xml:space="preserve">The Cousins and the Colour Thief</t>
  </si>
  <si>
    <t xml:space="preserve">2026-05-10</t>
  </si>
  <si>
    <t xml:space="preserve">Felix, Alex, Elfine, and Marion's new adventure</t>
  </si>
  <si>
    <t xml:space="preserve">Child inventor aimed wrong. Larger cast.</t>
  </si>
  <si>
    <t xml:space="preserve">Davy Jones and the Curse of the Locker</t>
  </si>
  <si>
    <t xml:space="preserve">2026-05-31</t>
  </si>
  <si>
    <t xml:space="preserve">Felix and Alex break Davy Jones' curse</t>
  </si>
  <si>
    <t xml:space="preserve">Stand-off beat, Thursday redemption. Fun and warm.</t>
  </si>
  <si>
    <t xml:space="preserve">The Crystal Maze Mystery</t>
  </si>
  <si>
    <t xml:space="preserve">TRIO FORCE CASE FILE #33</t>
  </si>
  <si>
    <t xml:space="preserve">Alex and the Harmony Stones</t>
  </si>
  <si>
    <t xml:space="preserve">Alex's countryside bicycle adventure with harmony stones</t>
  </si>
  <si>
    <t xml:space="preserve">The Great Storm Rescue</t>
  </si>
  <si>
    <t xml:space="preserve">2026-01-27</t>
  </si>
  <si>
    <t xml:space="preserve">The great storm rescue</t>
  </si>
  <si>
    <t xml:space="preserve">The Five and the Missing Christmas Pudding</t>
  </si>
  <si>
    <t xml:space="preserve">2026-02-14</t>
  </si>
  <si>
    <t xml:space="preserve">The Famous Five and Mean Santa mystery</t>
  </si>
  <si>
    <t xml:space="preserve">Enid-Blyton-flavoured. Fun seasonal mystery, lighter affirmation.</t>
  </si>
  <si>
    <t xml:space="preserve">The Five and the Magic Mirror in the Woods</t>
  </si>
  <si>
    <t xml:space="preserve">The Crystal Singers of Whispering Woods</t>
  </si>
  <si>
    <t xml:space="preserve">Crystal cluster origin. Cast can crowd.</t>
  </si>
  <si>
    <t xml:space="preserve">Trio Force Case File #31: The Mixed-Up Morning</t>
  </si>
  <si>
    <t xml:space="preserve">2026-05-12</t>
  </si>
  <si>
    <t xml:space="preserve">Three kids with magical puzzle-solving powers</t>
  </si>
  <si>
    <t xml:space="preserve">The Silly Spell Mix-Up</t>
  </si>
  <si>
    <t xml:space="preserve">2026-01-20</t>
  </si>
  <si>
    <t xml:space="preserve">Story about Felix's joy with his cousins and Peter</t>
  </si>
  <si>
    <t xml:space="preserve">The Box That Came on a Tuesday</t>
  </si>
  <si>
    <t xml:space="preserve">2026-06-04</t>
  </si>
  <si>
    <t xml:space="preserve">Powers that malfunction at awkward times</t>
  </si>
  <si>
    <t xml:space="preserve">Powers misfire at awkward (not tense) moments. Gentle.</t>
  </si>
  <si>
    <t xml:space="preserve">Winchester and the Villainette</t>
  </si>
  <si>
    <t xml:space="preserve">The Metal Singers</t>
  </si>
  <si>
    <t xml:space="preserve">The Iron Forest</t>
  </si>
  <si>
    <t xml:space="preserve">The Time-Keeper's Garden</t>
  </si>
  <si>
    <t xml:space="preserve">Alex's Giggle Garden</t>
  </si>
  <si>
    <t xml:space="preserve">Short voice-mode; emotion-focused. Slight.</t>
  </si>
  <si>
    <t xml:space="preserve">Sergeant Sticky Pants and the Terrible, Wonderful, Very Sticky Problem</t>
  </si>
  <si>
    <t xml:space="preserve">2026-06-05</t>
  </si>
  <si>
    <t xml:space="preserve">Sergeant Sticky Pants' next adventure</t>
  </si>
  <si>
    <t xml:space="preserve">Very silly, high fun, lighter affirmation. Comic palate-cleanser.</t>
  </si>
  <si>
    <t xml:space="preserve">Trio Force: Case File #33 — The Wishing Pest</t>
  </si>
  <si>
    <t xml:space="preserve">2026-05-13</t>
  </si>
  <si>
    <t xml:space="preserve">Monkey's paw powers for Alex, Felix, and Amelia</t>
  </si>
  <si>
    <t xml:space="preserve">The Storm Crystal's Secret</t>
  </si>
  <si>
    <t xml:space="preserve">Felix and Alex Join the 7 Club</t>
  </si>
  <si>
    <t xml:space="preserve">The 7 Club (voice-mode)</t>
  </si>
  <si>
    <t xml:space="preserve">C</t>
  </si>
  <si>
    <t xml:space="preserve">2026-01-21</t>
  </si>
  <si>
    <t xml:space="preserve">Felix and Alex join the 7 Club</t>
  </si>
  <si>
    <t xml:space="preserve">No</t>
  </si>
  <si>
    <t xml:space="preserve">The Five and the Secret Garden Party</t>
  </si>
  <si>
    <t xml:space="preserve">The Bramble Wall — Part Two</t>
  </si>
  <si>
    <t xml:space="preserve">The Bramble Wall (seasonal den)</t>
  </si>
  <si>
    <t xml:space="preserve">TRIO FORCE: CASE FILE #34</t>
  </si>
  <si>
    <t xml:space="preserve">The Mystery of Bramble Hollow</t>
  </si>
  <si>
    <t xml:space="preserve">Trio Force Case File #32: The Cloud Collector</t>
  </si>
  <si>
    <t xml:space="preserve">The Five Adventurers and the Mystery of Mean Santa</t>
  </si>
  <si>
    <t xml:space="preserve">Seasonal. Mean-Santa-is-sad. Confirm on read.</t>
  </si>
  <si>
    <t xml:space="preserve">The Colour Thief of Chalk Hill</t>
  </si>
  <si>
    <t xml:space="preserve">The Seven Club Powers</t>
  </si>
  <si>
    <t xml:space="preserve">Felix and the Minecraft Portal</t>
  </si>
  <si>
    <t xml:space="preserve">Clarifying who Felix is</t>
  </si>
  <si>
    <t xml:space="preserve">The Strength Situation</t>
  </si>
  <si>
    <t xml:space="preserve">The Super Skateboard</t>
  </si>
  <si>
    <t xml:space="preserve">Very short voice-mode. Sweet but slight.</t>
  </si>
  <si>
    <t xml:space="preserve">Felix Learns About Feelings</t>
  </si>
  <si>
    <t xml:space="preserve">Short; explicit feelings-teaching. Slight but on-theme.</t>
  </si>
  <si>
    <t xml:space="preserve">Manny's Magic Surprise</t>
  </si>
  <si>
    <t xml:space="preserve">The Quantum Badge</t>
  </si>
  <si>
    <t xml:space="preserve">2026-05-16</t>
  </si>
  <si>
    <t xml:space="preserve">Finding the right used electric car</t>
  </si>
  <si>
    <t xml:space="preserve">The 10 Magic Powers Adventure</t>
  </si>
  <si>
    <t xml:space="preserve">The Bramble Wall</t>
  </si>
  <si>
    <t xml:space="preserve">The Great Pudding Catastrophe</t>
  </si>
  <si>
    <t xml:space="preserve">The Magical Attic Discovery</t>
  </si>
  <si>
    <t xml:space="preserve">Trio Force: Case File #34 — The Thing That Walks Backwards</t>
  </si>
  <si>
    <t xml:space="preserve">The Forest That Keeps Secrets</t>
  </si>
  <si>
    <t xml:space="preserve">The Bridge That Went Somewhere Else</t>
  </si>
  <si>
    <t xml:space="preserve">The Day There Were Too Many Alexes</t>
  </si>
  <si>
    <t xml:space="preserve">The Bramble Wall — Part Three</t>
  </si>
  <si>
    <t xml:space="preserve">D</t>
  </si>
  <si>
    <t xml:space="preserve">The Shoemaker at the Edge of the Hedge</t>
  </si>
  <si>
    <t xml:space="preserve">2026-02-22</t>
  </si>
  <si>
    <t xml:space="preserve">Alex and Felix's magical adventure</t>
  </si>
  <si>
    <t xml:space="preserve">The Treasure of Rosemary Lane</t>
  </si>
  <si>
    <t xml:space="preserve">The 7 Cool Powers</t>
  </si>
  <si>
    <t xml:space="preserve">Voice-mode fragment. Skip.</t>
  </si>
  <si>
    <t xml:space="preserve">The Silly Magic Mix-Up</t>
  </si>
  <si>
    <t xml:space="preserve">The Secret 7 Club</t>
  </si>
  <si>
    <t xml:space="preserve">The 6 Powers Mystery</t>
  </si>
  <si>
    <t xml:space="preserve">The 7 Club Powers—Round Two!</t>
  </si>
  <si>
    <t xml:space="preserve">Voice-mode fragment. Thin. Skip/rewrite.</t>
  </si>
  <si>
    <t xml:space="preserve">How stories were scored (v2 — full text)</t>
  </si>
  <si>
    <t xml:space="preserve">This ranking is built from the FULL TEXT of every story in your Claude data export (85 stories found across 66 chats — far more than the ~30 first assumed). An automated pass scored language signals; then the top ~42 plus all previously-known stories were reviewed by hand and their scores corrected. The 'Reviewed' column shows which were human-checked (✓) vs automated-only (confirm on a read). Weights follow your priority order.</t>
  </si>
  <si>
    <t xml:space="preserve">Criterion</t>
  </si>
  <si>
    <t xml:space="preserve">Weight</t>
  </si>
  <si>
    <t xml:space="preserve">Meaning</t>
  </si>
  <si>
    <t xml:space="preserve">Affirmation &amp; good-behaviour modelling</t>
  </si>
  <si>
    <t xml:space="preserve">35%</t>
  </si>
  <si>
    <t xml:space="preserve">Clear repeatable life lessons woven into the action.</t>
  </si>
  <si>
    <t xml:space="preserve">Emotional depth</t>
  </si>
  <si>
    <t xml:space="preserve">20%</t>
  </si>
  <si>
    <t xml:space="preserve">A real feeling handled with care a 5yo recognises.</t>
  </si>
  <si>
    <t xml:space="preserve">Enjoyment / re-listen</t>
  </si>
  <si>
    <t xml:space="preserve">Will they ask for it again — hooks, sound, humour.</t>
  </si>
  <si>
    <t xml:space="preserve">Craft quality</t>
  </si>
  <si>
    <t xml:space="preserve">15%</t>
  </si>
  <si>
    <t xml:space="preserve">Felix acts/Alex notices distinct; sad-before-bad villain; clean shape; cast ≤6.</t>
  </si>
  <si>
    <t xml:space="preserve">Audio-friendliness</t>
  </si>
  <si>
    <t xml:space="preserve">10%</t>
  </si>
  <si>
    <t xml:space="preserve">Reads aloud well, no visuals; not bogged in free-verse.</t>
  </si>
  <si>
    <t xml:space="preserve">Tiers</t>
  </si>
  <si>
    <t xml:space="preserve">record first (score ≥4.2)</t>
  </si>
  <si>
    <t xml:space="preserve">solid, worth recording (3.6-4.19)</t>
  </si>
  <si>
    <t xml:space="preserve">polish/rewrite before recording (3.0-3.59)</t>
  </si>
  <si>
    <t xml:space="preserve">skip or heavy rewrite (&lt;3.0)</t>
  </si>
  <si>
    <t xml:space="preserve">Stories the export revealed (not in the original guide)</t>
  </si>
  <si>
    <t xml:space="preserve">Why it matters</t>
  </si>
  <si>
    <t xml:space="preserve">Inclusion/apology/not excluding friends. Different cast texture (Nana Rose) but top-tier values.</t>
  </si>
  <si>
    <t xml:space="preserve">'Asking is braver than force.' Sharing opens doors. Excellent.</t>
  </si>
  <si>
    <t xml:space="preserve">Starting-school nerves handled beautifully. Directly useful for the boys' real life.</t>
  </si>
  <si>
    <t xml:space="preserve">Birthday-magic mix-up; sharing/gratitude.</t>
  </si>
  <si>
    <t xml:space="preserve">Strong warmth. Needs a confirming read for canon-fit.</t>
  </si>
  <si>
    <t xml:space="preserve">Companion to Big Kids Club — inclusion theme. Possible near-duplicate; compare.</t>
  </si>
  <si>
    <t xml:space="preserve">Friendship &amp; moving/loss. Big feelings, gently done.</t>
  </si>
  <si>
    <t xml:space="preserve">Inclusion of a new friend. NB 'Harry' is a one-off guest — check canon fit.</t>
  </si>
  <si>
    <t xml:space="preserve">Longer grounded mystery. Read to confirm.</t>
  </si>
  <si>
    <t xml:space="preserve">Patience/anticipation theme. Confirm on read.</t>
  </si>
  <si>
    <t xml:space="preserve">Solid mystery, kind resolution. Confirm on read.</t>
  </si>
  <si>
    <t xml:space="preserve">Fun household mystery. Lighter on affirmation.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</si>
</sst>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3"/>
      <color rgb="FF1F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8E9D2"/>
        <bgColor rgb="FFEAF0F6"/>
      </patternFill>
    </fill>
    <fill>
      <patternFill patternType="solid">
        <fgColor rgb="FFEAF0F6"/>
        <bgColor rgb="FFD8E9D2"/>
      </patternFill>
    </fill>
    <fill>
      <patternFill patternType="solid">
        <fgColor rgb="FFF5E6C8"/>
        <bgColor rgb="FFF3D4D1"/>
      </patternFill>
    </fill>
    <fill>
      <patternFill patternType="solid">
        <fgColor rgb="FFF3D4D1"/>
        <bgColor rgb="FFF5E6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8E9D2"/>
          <bgColor rgb="FF000000"/>
        </patternFill>
      </fill>
    </dxf>
    <dxf>
      <fill>
        <patternFill patternType="solid">
          <fgColor rgb="FFEAF0F6"/>
          <bgColor rgb="FF000000"/>
        </patternFill>
      </fill>
    </dxf>
    <dxf>
      <fill>
        <patternFill patternType="solid">
          <fgColor rgb="FFF3D4D1"/>
          <bgColor rgb="FF000000"/>
        </patternFill>
      </fill>
    </dxf>
    <dxf>
      <fill>
        <patternFill patternType="solid">
          <fgColor rgb="FFF5E6C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E6C8"/>
      <rgbColor rgb="FFEAF0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9D2"/>
      <rgbColor rgb="FFFFFF99"/>
      <rgbColor rgb="FF99CCFF"/>
      <rgbColor rgb="FFFF99CC"/>
      <rgbColor rgb="FFCC99FF"/>
      <rgbColor rgb="FFF3D4D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6" min="5" style="0" width="7"/>
    <col collapsed="false" customWidth="true" hidden="false" outlineLevel="0" max="7" min="7" style="0" width="8"/>
    <col collapsed="false" customWidth="true" hidden="false" outlineLevel="0" max="12" min="8" style="0" width="7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5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30" hidden="false" customHeight="true" outlineLevel="0" collapsed="false">
      <c r="A2" s="2" t="n">
        <v>1</v>
      </c>
      <c r="B2" s="3" t="s">
        <v>17</v>
      </c>
      <c r="C2" s="3"/>
      <c r="D2" s="4" t="s">
        <v>18</v>
      </c>
      <c r="E2" s="5" t="n">
        <f aca="false">F2*0.35+G2*0.2+H2*0.2+I2*0.1+J2*0.15</f>
        <v>4.8</v>
      </c>
      <c r="F2" s="2" t="n">
        <v>5</v>
      </c>
      <c r="G2" s="2" t="n">
        <v>5</v>
      </c>
      <c r="H2" s="2" t="n">
        <v>4</v>
      </c>
      <c r="I2" s="2" t="n">
        <v>5</v>
      </c>
      <c r="J2" s="2" t="n">
        <v>5</v>
      </c>
      <c r="K2" s="2" t="n">
        <v>864</v>
      </c>
      <c r="L2" s="2" t="n">
        <v>6</v>
      </c>
      <c r="M2" s="2" t="s">
        <v>19</v>
      </c>
      <c r="N2" s="3" t="s">
        <v>20</v>
      </c>
      <c r="O2" s="2" t="s">
        <v>21</v>
      </c>
      <c r="P2" s="2" t="s">
        <v>22</v>
      </c>
      <c r="Q2" s="3" t="s">
        <v>23</v>
      </c>
    </row>
    <row r="3" customFormat="false" ht="30" hidden="false" customHeight="true" outlineLevel="0" collapsed="false">
      <c r="A3" s="2" t="n">
        <v>2</v>
      </c>
      <c r="B3" s="3" t="s">
        <v>24</v>
      </c>
      <c r="C3" s="3" t="s">
        <v>25</v>
      </c>
      <c r="D3" s="4" t="s">
        <v>18</v>
      </c>
      <c r="E3" s="5" t="n">
        <f aca="false">F3*0.35+G3*0.2+H3*0.2+I3*0.1+J3*0.15</f>
        <v>4.8</v>
      </c>
      <c r="F3" s="2" t="n">
        <v>5</v>
      </c>
      <c r="G3" s="2" t="n">
        <v>5</v>
      </c>
      <c r="H3" s="2" t="n">
        <v>4</v>
      </c>
      <c r="I3" s="2" t="n">
        <v>5</v>
      </c>
      <c r="J3" s="2" t="n">
        <v>5</v>
      </c>
      <c r="K3" s="2" t="n">
        <v>1486</v>
      </c>
      <c r="L3" s="2" t="n">
        <v>11</v>
      </c>
      <c r="M3" s="2" t="s">
        <v>26</v>
      </c>
      <c r="N3" s="3" t="s">
        <v>27</v>
      </c>
      <c r="O3" s="2" t="s">
        <v>21</v>
      </c>
      <c r="P3" s="2" t="s">
        <v>22</v>
      </c>
      <c r="Q3" s="3" t="s">
        <v>28</v>
      </c>
    </row>
    <row r="4" customFormat="false" ht="30" hidden="false" customHeight="true" outlineLevel="0" collapsed="false">
      <c r="A4" s="2" t="n">
        <v>3</v>
      </c>
      <c r="B4" s="3" t="s">
        <v>29</v>
      </c>
      <c r="C4" s="3" t="s">
        <v>30</v>
      </c>
      <c r="D4" s="4" t="s">
        <v>18</v>
      </c>
      <c r="E4" s="5" t="n">
        <f aca="false">F4*0.35+G4*0.2+H4*0.2+I4*0.1+J4*0.15</f>
        <v>4.8</v>
      </c>
      <c r="F4" s="2" t="n">
        <v>5</v>
      </c>
      <c r="G4" s="2" t="n">
        <v>4</v>
      </c>
      <c r="H4" s="2" t="n">
        <v>5</v>
      </c>
      <c r="I4" s="2" t="n">
        <v>5</v>
      </c>
      <c r="J4" s="2" t="n">
        <v>5</v>
      </c>
      <c r="K4" s="2" t="n">
        <v>955</v>
      </c>
      <c r="L4" s="2" t="n">
        <v>7</v>
      </c>
      <c r="M4" s="2" t="s">
        <v>31</v>
      </c>
      <c r="N4" s="3" t="s">
        <v>32</v>
      </c>
      <c r="O4" s="2" t="s">
        <v>21</v>
      </c>
      <c r="P4" s="2" t="s">
        <v>22</v>
      </c>
      <c r="Q4" s="3" t="s">
        <v>33</v>
      </c>
    </row>
    <row r="5" customFormat="false" ht="30" hidden="false" customHeight="true" outlineLevel="0" collapsed="false">
      <c r="A5" s="2" t="n">
        <v>4</v>
      </c>
      <c r="B5" s="3" t="s">
        <v>34</v>
      </c>
      <c r="C5" s="3" t="s">
        <v>35</v>
      </c>
      <c r="D5" s="4" t="s">
        <v>18</v>
      </c>
      <c r="E5" s="5" t="n">
        <f aca="false">F5*0.35+G5*0.2+H5*0.2+I5*0.1+J5*0.15</f>
        <v>4.8</v>
      </c>
      <c r="F5" s="2" t="n">
        <v>5</v>
      </c>
      <c r="G5" s="2" t="n">
        <v>5</v>
      </c>
      <c r="H5" s="2" t="n">
        <v>4</v>
      </c>
      <c r="I5" s="2" t="n">
        <v>5</v>
      </c>
      <c r="J5" s="2" t="n">
        <v>5</v>
      </c>
      <c r="K5" s="2" t="n">
        <v>1012</v>
      </c>
      <c r="L5" s="2" t="n">
        <v>7</v>
      </c>
      <c r="M5" s="2" t="s">
        <v>36</v>
      </c>
      <c r="N5" s="3" t="s">
        <v>37</v>
      </c>
      <c r="O5" s="2" t="s">
        <v>21</v>
      </c>
      <c r="P5" s="2" t="s">
        <v>22</v>
      </c>
      <c r="Q5" s="3" t="s">
        <v>38</v>
      </c>
    </row>
    <row r="6" customFormat="false" ht="30" hidden="false" customHeight="true" outlineLevel="0" collapsed="false">
      <c r="A6" s="2" t="n">
        <v>5</v>
      </c>
      <c r="B6" s="3" t="s">
        <v>39</v>
      </c>
      <c r="C6" s="3"/>
      <c r="D6" s="4" t="s">
        <v>18</v>
      </c>
      <c r="E6" s="5" t="n">
        <f aca="false">F6*0.35+G6*0.2+H6*0.2+I6*0.1+J6*0.15</f>
        <v>4.7</v>
      </c>
      <c r="F6" s="2" t="n">
        <v>5</v>
      </c>
      <c r="G6" s="2" t="n">
        <v>5</v>
      </c>
      <c r="H6" s="2" t="n">
        <v>4</v>
      </c>
      <c r="I6" s="2" t="n">
        <v>4</v>
      </c>
      <c r="J6" s="2" t="n">
        <v>5</v>
      </c>
      <c r="K6" s="2" t="n">
        <v>1238</v>
      </c>
      <c r="L6" s="2" t="n">
        <v>9</v>
      </c>
      <c r="M6" s="2" t="s">
        <v>40</v>
      </c>
      <c r="N6" s="3" t="s">
        <v>41</v>
      </c>
      <c r="O6" s="2" t="s">
        <v>21</v>
      </c>
      <c r="P6" s="2" t="s">
        <v>22</v>
      </c>
      <c r="Q6" s="3" t="s">
        <v>42</v>
      </c>
    </row>
    <row r="7" customFormat="false" ht="30" hidden="false" customHeight="true" outlineLevel="0" collapsed="false">
      <c r="A7" s="2" t="n">
        <v>6</v>
      </c>
      <c r="B7" s="3" t="s">
        <v>43</v>
      </c>
      <c r="C7" s="3"/>
      <c r="D7" s="4" t="s">
        <v>18</v>
      </c>
      <c r="E7" s="5" t="n">
        <f aca="false">F7*0.35+G7*0.2+H7*0.2+I7*0.1+J7*0.15</f>
        <v>4.7</v>
      </c>
      <c r="F7" s="2" t="n">
        <v>5</v>
      </c>
      <c r="G7" s="2" t="n">
        <v>5</v>
      </c>
      <c r="H7" s="2" t="n">
        <v>4</v>
      </c>
      <c r="I7" s="2" t="n">
        <v>4</v>
      </c>
      <c r="J7" s="2" t="n">
        <v>5</v>
      </c>
      <c r="K7" s="2" t="n">
        <v>3122</v>
      </c>
      <c r="L7" s="2" t="n">
        <v>23</v>
      </c>
      <c r="M7" s="2" t="s">
        <v>44</v>
      </c>
      <c r="N7" s="3" t="s">
        <v>45</v>
      </c>
      <c r="O7" s="2" t="s">
        <v>21</v>
      </c>
      <c r="P7" s="2" t="s">
        <v>22</v>
      </c>
      <c r="Q7" s="3" t="s">
        <v>46</v>
      </c>
    </row>
    <row r="8" customFormat="false" ht="30" hidden="false" customHeight="true" outlineLevel="0" collapsed="false">
      <c r="A8" s="2" t="n">
        <v>7</v>
      </c>
      <c r="B8" s="3" t="s">
        <v>47</v>
      </c>
      <c r="C8" s="3"/>
      <c r="D8" s="4" t="s">
        <v>18</v>
      </c>
      <c r="E8" s="5" t="n">
        <f aca="false">F8*0.35+G8*0.2+H8*0.2+I8*0.1+J8*0.15</f>
        <v>4.65</v>
      </c>
      <c r="F8" s="2" t="n">
        <v>5</v>
      </c>
      <c r="G8" s="2" t="n">
        <v>5</v>
      </c>
      <c r="H8" s="2" t="n">
        <v>4</v>
      </c>
      <c r="I8" s="2" t="n">
        <v>5</v>
      </c>
      <c r="J8" s="2" t="n">
        <v>4</v>
      </c>
      <c r="K8" s="2" t="n">
        <v>1184</v>
      </c>
      <c r="L8" s="2" t="n">
        <v>9</v>
      </c>
      <c r="M8" s="2" t="s">
        <v>48</v>
      </c>
      <c r="N8" s="3" t="s">
        <v>49</v>
      </c>
      <c r="O8" s="2" t="s">
        <v>21</v>
      </c>
      <c r="P8" s="2" t="s">
        <v>22</v>
      </c>
      <c r="Q8" s="3" t="s">
        <v>50</v>
      </c>
    </row>
    <row r="9" customFormat="false" ht="30" hidden="false" customHeight="true" outlineLevel="0" collapsed="false">
      <c r="A9" s="2" t="n">
        <v>8</v>
      </c>
      <c r="B9" s="3" t="s">
        <v>51</v>
      </c>
      <c r="C9" s="3"/>
      <c r="D9" s="4" t="s">
        <v>18</v>
      </c>
      <c r="E9" s="5" t="n">
        <f aca="false">F9*0.35+G9*0.2+H9*0.2+I9*0.1+J9*0.15</f>
        <v>4.6</v>
      </c>
      <c r="F9" s="2" t="n">
        <v>5</v>
      </c>
      <c r="G9" s="2" t="n">
        <v>5</v>
      </c>
      <c r="H9" s="2" t="n">
        <v>3</v>
      </c>
      <c r="I9" s="2" t="n">
        <v>5</v>
      </c>
      <c r="J9" s="2" t="n">
        <v>5</v>
      </c>
      <c r="K9" s="2" t="n">
        <v>1307</v>
      </c>
      <c r="L9" s="2" t="n">
        <v>10</v>
      </c>
      <c r="M9" s="2" t="s">
        <v>26</v>
      </c>
      <c r="N9" s="3" t="s">
        <v>27</v>
      </c>
      <c r="O9" s="2" t="s">
        <v>21</v>
      </c>
      <c r="P9" s="2" t="s">
        <v>22</v>
      </c>
      <c r="Q9" s="3" t="s">
        <v>52</v>
      </c>
    </row>
    <row r="10" customFormat="false" ht="30" hidden="false" customHeight="true" outlineLevel="0" collapsed="false">
      <c r="A10" s="2" t="n">
        <v>9</v>
      </c>
      <c r="B10" s="3" t="s">
        <v>53</v>
      </c>
      <c r="C10" s="3"/>
      <c r="D10" s="4" t="s">
        <v>18</v>
      </c>
      <c r="E10" s="5" t="n">
        <f aca="false">F10*0.35+G10*0.2+H10*0.2+I10*0.1+J10*0.15</f>
        <v>4.6</v>
      </c>
      <c r="F10" s="2" t="n">
        <v>5</v>
      </c>
      <c r="G10" s="2" t="n">
        <v>4</v>
      </c>
      <c r="H10" s="2" t="n">
        <v>4</v>
      </c>
      <c r="I10" s="2" t="n">
        <v>5</v>
      </c>
      <c r="J10" s="2" t="n">
        <v>5</v>
      </c>
      <c r="K10" s="2" t="n">
        <v>1394</v>
      </c>
      <c r="L10" s="2" t="n">
        <v>10</v>
      </c>
      <c r="M10" s="2" t="s">
        <v>26</v>
      </c>
      <c r="N10" s="3" t="s">
        <v>27</v>
      </c>
      <c r="O10" s="2" t="s">
        <v>21</v>
      </c>
      <c r="P10" s="2" t="s">
        <v>22</v>
      </c>
      <c r="Q10" s="3" t="s">
        <v>54</v>
      </c>
    </row>
    <row r="11" customFormat="false" ht="30" hidden="false" customHeight="true" outlineLevel="0" collapsed="false">
      <c r="A11" s="2" t="n">
        <v>10</v>
      </c>
      <c r="B11" s="3" t="s">
        <v>55</v>
      </c>
      <c r="C11" s="3"/>
      <c r="D11" s="4" t="s">
        <v>18</v>
      </c>
      <c r="E11" s="5" t="n">
        <f aca="false">F11*0.35+G11*0.2+H11*0.2+I11*0.1+J11*0.15</f>
        <v>4.6</v>
      </c>
      <c r="F11" s="2" t="n">
        <v>5</v>
      </c>
      <c r="G11" s="2" t="n">
        <v>4</v>
      </c>
      <c r="H11" s="2" t="n">
        <v>4</v>
      </c>
      <c r="I11" s="2" t="n">
        <v>5</v>
      </c>
      <c r="J11" s="2" t="n">
        <v>5</v>
      </c>
      <c r="K11" s="2" t="n">
        <v>1956</v>
      </c>
      <c r="L11" s="2" t="n">
        <v>14</v>
      </c>
      <c r="M11" s="2" t="s">
        <v>26</v>
      </c>
      <c r="N11" s="3" t="s">
        <v>27</v>
      </c>
      <c r="O11" s="2" t="s">
        <v>21</v>
      </c>
      <c r="P11" s="2" t="s">
        <v>22</v>
      </c>
      <c r="Q11" s="3" t="s">
        <v>56</v>
      </c>
    </row>
    <row r="12" customFormat="false" ht="30" hidden="false" customHeight="true" outlineLevel="0" collapsed="false">
      <c r="A12" s="2" t="n">
        <v>11</v>
      </c>
      <c r="B12" s="3" t="s">
        <v>57</v>
      </c>
      <c r="C12" s="3" t="s">
        <v>58</v>
      </c>
      <c r="D12" s="4" t="s">
        <v>18</v>
      </c>
      <c r="E12" s="5" t="n">
        <f aca="false">F12*0.35+G12*0.2+H12*0.2+I12*0.1+J12*0.15</f>
        <v>4.6</v>
      </c>
      <c r="F12" s="2" t="n">
        <v>5</v>
      </c>
      <c r="G12" s="2" t="n">
        <v>4</v>
      </c>
      <c r="H12" s="2" t="n">
        <v>4</v>
      </c>
      <c r="I12" s="2" t="n">
        <v>5</v>
      </c>
      <c r="J12" s="2" t="n">
        <v>5</v>
      </c>
      <c r="K12" s="2" t="n">
        <v>947</v>
      </c>
      <c r="L12" s="2" t="n">
        <v>7</v>
      </c>
      <c r="M12" s="2" t="s">
        <v>26</v>
      </c>
      <c r="N12" s="3" t="s">
        <v>27</v>
      </c>
      <c r="O12" s="2" t="s">
        <v>21</v>
      </c>
      <c r="P12" s="2" t="s">
        <v>22</v>
      </c>
      <c r="Q12" s="3" t="s">
        <v>59</v>
      </c>
    </row>
    <row r="13" customFormat="false" ht="30" hidden="false" customHeight="true" outlineLevel="0" collapsed="false">
      <c r="A13" s="2" t="n">
        <v>12</v>
      </c>
      <c r="B13" s="3" t="s">
        <v>60</v>
      </c>
      <c r="C13" s="3"/>
      <c r="D13" s="4" t="s">
        <v>18</v>
      </c>
      <c r="E13" s="5" t="n">
        <f aca="false">F13*0.35+G13*0.2+H13*0.2+I13*0.1+J13*0.15</f>
        <v>4.6</v>
      </c>
      <c r="F13" s="2" t="n">
        <v>5</v>
      </c>
      <c r="G13" s="2" t="n">
        <v>5</v>
      </c>
      <c r="H13" s="2" t="n">
        <v>3</v>
      </c>
      <c r="I13" s="2" t="n">
        <v>5</v>
      </c>
      <c r="J13" s="2" t="n">
        <v>5</v>
      </c>
      <c r="K13" s="2" t="n">
        <v>1574</v>
      </c>
      <c r="L13" s="2" t="n">
        <v>12</v>
      </c>
      <c r="M13" s="2" t="s">
        <v>26</v>
      </c>
      <c r="N13" s="3" t="s">
        <v>27</v>
      </c>
      <c r="O13" s="2" t="s">
        <v>21</v>
      </c>
      <c r="P13" s="2" t="s">
        <v>22</v>
      </c>
      <c r="Q13" s="3" t="s">
        <v>61</v>
      </c>
    </row>
    <row r="14" customFormat="false" ht="30" hidden="false" customHeight="true" outlineLevel="0" collapsed="false">
      <c r="A14" s="2" t="n">
        <v>13</v>
      </c>
      <c r="B14" s="3" t="s">
        <v>62</v>
      </c>
      <c r="C14" s="3"/>
      <c r="D14" s="4" t="s">
        <v>18</v>
      </c>
      <c r="E14" s="5" t="n">
        <f aca="false">F14*0.35+G14*0.2+H14*0.2+I14*0.1+J14*0.15</f>
        <v>4.6</v>
      </c>
      <c r="F14" s="2" t="n">
        <v>5</v>
      </c>
      <c r="G14" s="2" t="n">
        <v>4</v>
      </c>
      <c r="H14" s="2" t="n">
        <v>4</v>
      </c>
      <c r="I14" s="2" t="n">
        <v>5</v>
      </c>
      <c r="J14" s="2" t="n">
        <v>5</v>
      </c>
      <c r="K14" s="2" t="n">
        <v>1256</v>
      </c>
      <c r="L14" s="2" t="n">
        <v>9</v>
      </c>
      <c r="M14" s="2" t="s">
        <v>63</v>
      </c>
      <c r="N14" s="3" t="s">
        <v>64</v>
      </c>
      <c r="O14" s="2" t="s">
        <v>21</v>
      </c>
      <c r="P14" s="2" t="s">
        <v>22</v>
      </c>
      <c r="Q14" s="3" t="s">
        <v>65</v>
      </c>
    </row>
    <row r="15" customFormat="false" ht="30" hidden="false" customHeight="true" outlineLevel="0" collapsed="false">
      <c r="A15" s="2" t="n">
        <v>14</v>
      </c>
      <c r="B15" s="3" t="s">
        <v>66</v>
      </c>
      <c r="C15" s="3"/>
      <c r="D15" s="4" t="s">
        <v>18</v>
      </c>
      <c r="E15" s="5" t="n">
        <f aca="false">F15*0.35+G15*0.2+H15*0.2+I15*0.1+J15*0.15</f>
        <v>4.6</v>
      </c>
      <c r="F15" s="2" t="n">
        <v>5</v>
      </c>
      <c r="G15" s="2" t="n">
        <v>4</v>
      </c>
      <c r="H15" s="2" t="n">
        <v>4</v>
      </c>
      <c r="I15" s="2" t="n">
        <v>5</v>
      </c>
      <c r="J15" s="2" t="n">
        <v>5</v>
      </c>
      <c r="K15" s="2" t="n">
        <v>1398</v>
      </c>
      <c r="L15" s="2" t="n">
        <v>10</v>
      </c>
      <c r="M15" s="2" t="s">
        <v>63</v>
      </c>
      <c r="N15" s="3" t="s">
        <v>64</v>
      </c>
      <c r="O15" s="2" t="s">
        <v>21</v>
      </c>
      <c r="P15" s="2" t="s">
        <v>22</v>
      </c>
      <c r="Q15" s="3" t="s">
        <v>67</v>
      </c>
    </row>
    <row r="16" customFormat="false" ht="30" hidden="false" customHeight="true" outlineLevel="0" collapsed="false">
      <c r="A16" s="2" t="n">
        <v>15</v>
      </c>
      <c r="B16" s="3" t="s">
        <v>68</v>
      </c>
      <c r="C16" s="3" t="s">
        <v>35</v>
      </c>
      <c r="D16" s="4" t="s">
        <v>18</v>
      </c>
      <c r="E16" s="5" t="n">
        <f aca="false">F16*0.35+G16*0.2+H16*0.2+I16*0.1+J16*0.15</f>
        <v>4.6</v>
      </c>
      <c r="F16" s="2" t="n">
        <v>5</v>
      </c>
      <c r="G16" s="2" t="n">
        <v>4</v>
      </c>
      <c r="H16" s="2" t="n">
        <v>4</v>
      </c>
      <c r="I16" s="2" t="n">
        <v>5</v>
      </c>
      <c r="J16" s="2" t="n">
        <v>5</v>
      </c>
      <c r="K16" s="2" t="n">
        <v>1289</v>
      </c>
      <c r="L16" s="2" t="n">
        <v>10</v>
      </c>
      <c r="M16" s="2" t="s">
        <v>69</v>
      </c>
      <c r="N16" s="3" t="s">
        <v>70</v>
      </c>
      <c r="O16" s="2" t="s">
        <v>21</v>
      </c>
      <c r="P16" s="2" t="s">
        <v>22</v>
      </c>
      <c r="Q16" s="3" t="s">
        <v>71</v>
      </c>
    </row>
    <row r="17" customFormat="false" ht="30" hidden="false" customHeight="true" outlineLevel="0" collapsed="false">
      <c r="A17" s="2" t="n">
        <v>16</v>
      </c>
      <c r="B17" s="3" t="s">
        <v>72</v>
      </c>
      <c r="C17" s="3"/>
      <c r="D17" s="4" t="s">
        <v>18</v>
      </c>
      <c r="E17" s="5" t="n">
        <f aca="false">F17*0.35+G17*0.2+H17*0.2+I17*0.1+J17*0.15</f>
        <v>4.4695</v>
      </c>
      <c r="F17" s="2" t="n">
        <v>5</v>
      </c>
      <c r="G17" s="2" t="n">
        <v>4.35</v>
      </c>
      <c r="H17" s="2" t="n">
        <v>3.2</v>
      </c>
      <c r="I17" s="2" t="n">
        <v>5</v>
      </c>
      <c r="J17" s="2" t="n">
        <v>4.73</v>
      </c>
      <c r="K17" s="2" t="n">
        <v>1489</v>
      </c>
      <c r="L17" s="2" t="n">
        <v>11</v>
      </c>
      <c r="M17" s="2" t="s">
        <v>31</v>
      </c>
      <c r="N17" s="3" t="s">
        <v>32</v>
      </c>
      <c r="O17" s="2" t="s">
        <v>73</v>
      </c>
      <c r="P17" s="2" t="s">
        <v>22</v>
      </c>
      <c r="Q17" s="3"/>
    </row>
    <row r="18" customFormat="false" ht="30" hidden="false" customHeight="true" outlineLevel="0" collapsed="false">
      <c r="A18" s="2" t="n">
        <v>17</v>
      </c>
      <c r="B18" s="3" t="s">
        <v>74</v>
      </c>
      <c r="C18" s="3" t="s">
        <v>25</v>
      </c>
      <c r="D18" s="4" t="s">
        <v>18</v>
      </c>
      <c r="E18" s="5" t="n">
        <f aca="false">F18*0.35+G18*0.2+H18*0.2+I18*0.1+J18*0.15</f>
        <v>4.45</v>
      </c>
      <c r="F18" s="2" t="n">
        <v>5</v>
      </c>
      <c r="G18" s="2" t="n">
        <v>4</v>
      </c>
      <c r="H18" s="2" t="n">
        <v>4</v>
      </c>
      <c r="I18" s="2" t="n">
        <v>5</v>
      </c>
      <c r="J18" s="2" t="n">
        <v>4</v>
      </c>
      <c r="K18" s="2" t="n">
        <v>1717</v>
      </c>
      <c r="L18" s="2" t="n">
        <v>13</v>
      </c>
      <c r="M18" s="2" t="s">
        <v>26</v>
      </c>
      <c r="N18" s="3" t="s">
        <v>27</v>
      </c>
      <c r="O18" s="2" t="s">
        <v>21</v>
      </c>
      <c r="P18" s="2" t="s">
        <v>22</v>
      </c>
      <c r="Q18" s="3" t="s">
        <v>75</v>
      </c>
    </row>
    <row r="19" customFormat="false" ht="30" hidden="false" customHeight="true" outlineLevel="0" collapsed="false">
      <c r="A19" s="2" t="n">
        <v>18</v>
      </c>
      <c r="B19" s="3" t="s">
        <v>76</v>
      </c>
      <c r="C19" s="3"/>
      <c r="D19" s="4" t="s">
        <v>18</v>
      </c>
      <c r="E19" s="5" t="n">
        <f aca="false">F19*0.35+G19*0.2+H19*0.2+I19*0.1+J19*0.15</f>
        <v>4.45</v>
      </c>
      <c r="F19" s="2" t="n">
        <v>4</v>
      </c>
      <c r="G19" s="2" t="n">
        <v>5</v>
      </c>
      <c r="H19" s="2" t="n">
        <v>4</v>
      </c>
      <c r="I19" s="2" t="n">
        <v>5</v>
      </c>
      <c r="J19" s="2" t="n">
        <v>5</v>
      </c>
      <c r="K19" s="2" t="n">
        <v>1992</v>
      </c>
      <c r="L19" s="2" t="n">
        <v>15</v>
      </c>
      <c r="M19" s="2" t="s">
        <v>26</v>
      </c>
      <c r="N19" s="3" t="s">
        <v>27</v>
      </c>
      <c r="O19" s="2" t="s">
        <v>21</v>
      </c>
      <c r="P19" s="2" t="s">
        <v>22</v>
      </c>
      <c r="Q19" s="3" t="s">
        <v>77</v>
      </c>
    </row>
    <row r="20" customFormat="false" ht="30" hidden="false" customHeight="true" outlineLevel="0" collapsed="false">
      <c r="A20" s="2" t="n">
        <v>19</v>
      </c>
      <c r="B20" s="3" t="s">
        <v>78</v>
      </c>
      <c r="C20" s="3"/>
      <c r="D20" s="4" t="s">
        <v>18</v>
      </c>
      <c r="E20" s="5" t="n">
        <f aca="false">F20*0.35+G20*0.2+H20*0.2+I20*0.1+J20*0.15</f>
        <v>4.45</v>
      </c>
      <c r="F20" s="2" t="n">
        <v>5</v>
      </c>
      <c r="G20" s="2" t="n">
        <v>4</v>
      </c>
      <c r="H20" s="2" t="n">
        <v>4</v>
      </c>
      <c r="I20" s="2" t="n">
        <v>5</v>
      </c>
      <c r="J20" s="2" t="n">
        <v>4</v>
      </c>
      <c r="K20" s="2" t="n">
        <v>1340</v>
      </c>
      <c r="L20" s="2" t="n">
        <v>10</v>
      </c>
      <c r="M20" s="2" t="s">
        <v>79</v>
      </c>
      <c r="N20" s="3" t="s">
        <v>80</v>
      </c>
      <c r="O20" s="2" t="s">
        <v>21</v>
      </c>
      <c r="P20" s="2" t="s">
        <v>22</v>
      </c>
      <c r="Q20" s="3" t="s">
        <v>81</v>
      </c>
    </row>
    <row r="21" customFormat="false" ht="30" hidden="false" customHeight="true" outlineLevel="0" collapsed="false">
      <c r="A21" s="2" t="n">
        <v>20</v>
      </c>
      <c r="B21" s="3" t="s">
        <v>82</v>
      </c>
      <c r="C21" s="3"/>
      <c r="D21" s="4" t="s">
        <v>18</v>
      </c>
      <c r="E21" s="5" t="n">
        <f aca="false">F21*0.35+G21*0.2+H21*0.2+I21*0.1+J21*0.15</f>
        <v>4.424</v>
      </c>
      <c r="F21" s="2" t="n">
        <v>5</v>
      </c>
      <c r="G21" s="2" t="n">
        <v>3.92</v>
      </c>
      <c r="H21" s="2" t="n">
        <v>3.2</v>
      </c>
      <c r="I21" s="2" t="n">
        <v>5</v>
      </c>
      <c r="J21" s="2" t="n">
        <v>5</v>
      </c>
      <c r="K21" s="2" t="n">
        <v>1371</v>
      </c>
      <c r="L21" s="2" t="n">
        <v>10</v>
      </c>
      <c r="M21" s="2" t="s">
        <v>26</v>
      </c>
      <c r="N21" s="3" t="s">
        <v>27</v>
      </c>
      <c r="O21" s="2" t="s">
        <v>73</v>
      </c>
      <c r="P21" s="2" t="s">
        <v>22</v>
      </c>
      <c r="Q21" s="3"/>
    </row>
    <row r="22" customFormat="false" ht="30" hidden="false" customHeight="true" outlineLevel="0" collapsed="false">
      <c r="A22" s="2" t="n">
        <v>21</v>
      </c>
      <c r="B22" s="3" t="s">
        <v>83</v>
      </c>
      <c r="C22" s="3"/>
      <c r="D22" s="4" t="s">
        <v>18</v>
      </c>
      <c r="E22" s="5" t="n">
        <f aca="false">F22*0.35+G22*0.2+H22*0.2+I22*0.1+J22*0.15</f>
        <v>4.4195</v>
      </c>
      <c r="F22" s="2" t="n">
        <v>4.78</v>
      </c>
      <c r="G22" s="2" t="n">
        <v>5</v>
      </c>
      <c r="H22" s="2" t="n">
        <v>3.2</v>
      </c>
      <c r="I22" s="2" t="n">
        <v>4</v>
      </c>
      <c r="J22" s="2" t="n">
        <v>4.71</v>
      </c>
      <c r="K22" s="2" t="n">
        <v>2200</v>
      </c>
      <c r="L22" s="2" t="n">
        <v>16</v>
      </c>
      <c r="M22" s="2" t="s">
        <v>84</v>
      </c>
      <c r="N22" s="3" t="s">
        <v>85</v>
      </c>
      <c r="O22" s="2" t="s">
        <v>73</v>
      </c>
      <c r="P22" s="2" t="s">
        <v>22</v>
      </c>
      <c r="Q22" s="3"/>
    </row>
    <row r="23" customFormat="false" ht="30" hidden="false" customHeight="true" outlineLevel="0" collapsed="false">
      <c r="A23" s="2" t="n">
        <v>22</v>
      </c>
      <c r="B23" s="3" t="s">
        <v>86</v>
      </c>
      <c r="C23" s="3"/>
      <c r="D23" s="4" t="s">
        <v>18</v>
      </c>
      <c r="E23" s="5" t="n">
        <f aca="false">F23*0.35+G23*0.2+H23*0.2+I23*0.1+J23*0.15</f>
        <v>4.4</v>
      </c>
      <c r="F23" s="2" t="n">
        <v>5</v>
      </c>
      <c r="G23" s="2" t="n">
        <v>3</v>
      </c>
      <c r="H23" s="2" t="n">
        <v>4</v>
      </c>
      <c r="I23" s="2" t="n">
        <v>5</v>
      </c>
      <c r="J23" s="2" t="n">
        <v>5</v>
      </c>
      <c r="K23" s="2" t="n">
        <v>1155</v>
      </c>
      <c r="L23" s="2" t="n">
        <v>9</v>
      </c>
      <c r="M23" s="2" t="s">
        <v>26</v>
      </c>
      <c r="N23" s="3" t="s">
        <v>27</v>
      </c>
      <c r="O23" s="2" t="s">
        <v>21</v>
      </c>
      <c r="P23" s="2" t="s">
        <v>22</v>
      </c>
      <c r="Q23" s="3" t="s">
        <v>87</v>
      </c>
    </row>
    <row r="24" customFormat="false" ht="30" hidden="false" customHeight="true" outlineLevel="0" collapsed="false">
      <c r="A24" s="2" t="n">
        <v>23</v>
      </c>
      <c r="B24" s="3" t="s">
        <v>88</v>
      </c>
      <c r="C24" s="3" t="s">
        <v>35</v>
      </c>
      <c r="D24" s="4" t="s">
        <v>18</v>
      </c>
      <c r="E24" s="5" t="n">
        <f aca="false">F24*0.35+G24*0.2+H24*0.2+I24*0.1+J24*0.15</f>
        <v>4.347</v>
      </c>
      <c r="F24" s="2" t="n">
        <v>5</v>
      </c>
      <c r="G24" s="2" t="n">
        <v>3.61</v>
      </c>
      <c r="H24" s="2" t="n">
        <v>3.2</v>
      </c>
      <c r="I24" s="2" t="n">
        <v>5</v>
      </c>
      <c r="J24" s="2" t="n">
        <v>4.9</v>
      </c>
      <c r="K24" s="2" t="n">
        <v>1798</v>
      </c>
      <c r="L24" s="2" t="n">
        <v>13</v>
      </c>
      <c r="M24" s="2" t="s">
        <v>89</v>
      </c>
      <c r="N24" s="3" t="s">
        <v>90</v>
      </c>
      <c r="O24" s="2" t="s">
        <v>73</v>
      </c>
      <c r="P24" s="2" t="s">
        <v>22</v>
      </c>
      <c r="Q24" s="3"/>
    </row>
    <row r="25" customFormat="false" ht="30" hidden="false" customHeight="true" outlineLevel="0" collapsed="false">
      <c r="A25" s="2" t="n">
        <v>24</v>
      </c>
      <c r="B25" s="3" t="s">
        <v>91</v>
      </c>
      <c r="C25" s="3"/>
      <c r="D25" s="4" t="s">
        <v>18</v>
      </c>
      <c r="E25" s="5" t="n">
        <f aca="false">F25*0.35+G25*0.2+H25*0.2+I25*0.1+J25*0.15</f>
        <v>4.25</v>
      </c>
      <c r="F25" s="2" t="n">
        <v>4</v>
      </c>
      <c r="G25" s="2" t="n">
        <v>4</v>
      </c>
      <c r="H25" s="2" t="n">
        <v>4</v>
      </c>
      <c r="I25" s="2" t="n">
        <v>5</v>
      </c>
      <c r="J25" s="2" t="n">
        <v>5</v>
      </c>
      <c r="K25" s="2" t="n">
        <v>1665</v>
      </c>
      <c r="L25" s="2" t="n">
        <v>12</v>
      </c>
      <c r="M25" s="2" t="s">
        <v>26</v>
      </c>
      <c r="N25" s="3" t="s">
        <v>27</v>
      </c>
      <c r="O25" s="2" t="s">
        <v>21</v>
      </c>
      <c r="P25" s="2" t="s">
        <v>22</v>
      </c>
      <c r="Q25" s="3" t="s">
        <v>92</v>
      </c>
    </row>
    <row r="26" customFormat="false" ht="30" hidden="false" customHeight="true" outlineLevel="0" collapsed="false">
      <c r="A26" s="2" t="n">
        <v>25</v>
      </c>
      <c r="B26" s="3" t="s">
        <v>93</v>
      </c>
      <c r="C26" s="3"/>
      <c r="D26" s="4" t="s">
        <v>18</v>
      </c>
      <c r="E26" s="5" t="n">
        <f aca="false">F26*0.35+G26*0.2+H26*0.2+I26*0.1+J26*0.15</f>
        <v>4.25</v>
      </c>
      <c r="F26" s="2" t="n">
        <v>4</v>
      </c>
      <c r="G26" s="2" t="n">
        <v>3</v>
      </c>
      <c r="H26" s="2" t="n">
        <v>5</v>
      </c>
      <c r="I26" s="2" t="n">
        <v>5</v>
      </c>
      <c r="J26" s="2" t="n">
        <v>5</v>
      </c>
      <c r="K26" s="2" t="n">
        <v>1626</v>
      </c>
      <c r="L26" s="2" t="n">
        <v>12</v>
      </c>
      <c r="M26" s="2" t="s">
        <v>26</v>
      </c>
      <c r="N26" s="3" t="s">
        <v>27</v>
      </c>
      <c r="O26" s="2" t="s">
        <v>21</v>
      </c>
      <c r="P26" s="2" t="s">
        <v>22</v>
      </c>
      <c r="Q26" s="3" t="s">
        <v>94</v>
      </c>
    </row>
    <row r="27" customFormat="false" ht="30" hidden="false" customHeight="true" outlineLevel="0" collapsed="false">
      <c r="A27" s="2" t="n">
        <v>26</v>
      </c>
      <c r="B27" s="3" t="s">
        <v>95</v>
      </c>
      <c r="C27" s="3" t="s">
        <v>35</v>
      </c>
      <c r="D27" s="4" t="s">
        <v>18</v>
      </c>
      <c r="E27" s="5" t="n">
        <f aca="false">F27*0.35+G27*0.2+H27*0.2+I27*0.1+J27*0.15</f>
        <v>4.25</v>
      </c>
      <c r="F27" s="2" t="n">
        <v>4</v>
      </c>
      <c r="G27" s="2" t="n">
        <v>4</v>
      </c>
      <c r="H27" s="2" t="n">
        <v>4</v>
      </c>
      <c r="I27" s="2" t="n">
        <v>5</v>
      </c>
      <c r="J27" s="2" t="n">
        <v>5</v>
      </c>
      <c r="K27" s="2" t="n">
        <v>1506</v>
      </c>
      <c r="L27" s="2" t="n">
        <v>11</v>
      </c>
      <c r="M27" s="2" t="s">
        <v>84</v>
      </c>
      <c r="N27" s="3" t="s">
        <v>96</v>
      </c>
      <c r="O27" s="2" t="s">
        <v>21</v>
      </c>
      <c r="P27" s="2" t="s">
        <v>22</v>
      </c>
      <c r="Q27" s="3" t="s">
        <v>97</v>
      </c>
    </row>
    <row r="28" customFormat="false" ht="30" hidden="false" customHeight="true" outlineLevel="0" collapsed="false">
      <c r="A28" s="2" t="n">
        <v>27</v>
      </c>
      <c r="B28" s="3" t="s">
        <v>98</v>
      </c>
      <c r="C28" s="3" t="s">
        <v>99</v>
      </c>
      <c r="D28" s="4" t="s">
        <v>18</v>
      </c>
      <c r="E28" s="5" t="n">
        <f aca="false">F28*0.35+G28*0.2+H28*0.2+I28*0.1+J28*0.15</f>
        <v>4.2015</v>
      </c>
      <c r="F28" s="2" t="n">
        <v>4.99</v>
      </c>
      <c r="G28" s="2" t="n">
        <v>2.9</v>
      </c>
      <c r="H28" s="2" t="n">
        <v>3.2</v>
      </c>
      <c r="I28" s="2" t="n">
        <v>5</v>
      </c>
      <c r="J28" s="2" t="n">
        <v>4.9</v>
      </c>
      <c r="K28" s="2" t="n">
        <v>789</v>
      </c>
      <c r="L28" s="2" t="n">
        <v>6</v>
      </c>
      <c r="M28" s="2" t="s">
        <v>100</v>
      </c>
      <c r="N28" s="3" t="s">
        <v>101</v>
      </c>
      <c r="O28" s="2" t="s">
        <v>73</v>
      </c>
      <c r="P28" s="2" t="s">
        <v>22</v>
      </c>
      <c r="Q28" s="3"/>
    </row>
    <row r="29" customFormat="false" ht="30" hidden="false" customHeight="true" outlineLevel="0" collapsed="false">
      <c r="A29" s="2" t="n">
        <v>28</v>
      </c>
      <c r="B29" s="3" t="s">
        <v>102</v>
      </c>
      <c r="C29" s="3"/>
      <c r="D29" s="4" t="s">
        <v>18</v>
      </c>
      <c r="E29" s="5" t="n">
        <f aca="false">F29*0.35+G29*0.2+H29*0.2+I29*0.1+J29*0.15</f>
        <v>4.2</v>
      </c>
      <c r="F29" s="2" t="n">
        <v>4</v>
      </c>
      <c r="G29" s="2" t="n">
        <v>4</v>
      </c>
      <c r="H29" s="2" t="n">
        <v>5</v>
      </c>
      <c r="I29" s="2" t="n">
        <v>4</v>
      </c>
      <c r="J29" s="2" t="n">
        <v>4</v>
      </c>
      <c r="K29" s="2" t="n">
        <v>1897</v>
      </c>
      <c r="L29" s="2" t="n">
        <v>14</v>
      </c>
      <c r="M29" s="2" t="s">
        <v>103</v>
      </c>
      <c r="N29" s="3" t="s">
        <v>104</v>
      </c>
      <c r="O29" s="2" t="s">
        <v>21</v>
      </c>
      <c r="P29" s="2" t="s">
        <v>22</v>
      </c>
      <c r="Q29" s="3" t="s">
        <v>105</v>
      </c>
    </row>
    <row r="30" customFormat="false" ht="30" hidden="false" customHeight="true" outlineLevel="0" collapsed="false">
      <c r="A30" s="2" t="n">
        <v>29</v>
      </c>
      <c r="B30" s="3" t="s">
        <v>106</v>
      </c>
      <c r="C30" s="3" t="s">
        <v>99</v>
      </c>
      <c r="D30" s="6" t="s">
        <v>107</v>
      </c>
      <c r="E30" s="5" t="n">
        <f aca="false">F30*0.35+G30*0.2+H30*0.2+I30*0.1+J30*0.15</f>
        <v>4.13</v>
      </c>
      <c r="F30" s="2" t="n">
        <v>5</v>
      </c>
      <c r="G30" s="2" t="n">
        <v>3.53</v>
      </c>
      <c r="H30" s="2" t="n">
        <v>3.2</v>
      </c>
      <c r="I30" s="2" t="n">
        <v>5</v>
      </c>
      <c r="J30" s="2" t="n">
        <v>3.56</v>
      </c>
      <c r="K30" s="2" t="n">
        <v>1727</v>
      </c>
      <c r="L30" s="2" t="n">
        <v>13</v>
      </c>
      <c r="M30" s="2" t="s">
        <v>100</v>
      </c>
      <c r="N30" s="3" t="s">
        <v>108</v>
      </c>
      <c r="O30" s="2" t="s">
        <v>73</v>
      </c>
      <c r="P30" s="2" t="s">
        <v>22</v>
      </c>
      <c r="Q30" s="3"/>
    </row>
    <row r="31" customFormat="false" ht="30" hidden="false" customHeight="true" outlineLevel="0" collapsed="false">
      <c r="A31" s="2" t="n">
        <v>30</v>
      </c>
      <c r="B31" s="3" t="s">
        <v>109</v>
      </c>
      <c r="C31" s="3" t="s">
        <v>99</v>
      </c>
      <c r="D31" s="6" t="s">
        <v>107</v>
      </c>
      <c r="E31" s="5" t="n">
        <f aca="false">F31*0.35+G31*0.2+H31*0.2+I31*0.1+J31*0.15</f>
        <v>4.1</v>
      </c>
      <c r="F31" s="2" t="n">
        <v>4</v>
      </c>
      <c r="G31" s="2" t="n">
        <v>4</v>
      </c>
      <c r="H31" s="2" t="n">
        <v>4</v>
      </c>
      <c r="I31" s="2" t="n">
        <v>5</v>
      </c>
      <c r="J31" s="2" t="n">
        <v>4</v>
      </c>
      <c r="K31" s="2" t="n">
        <v>1628</v>
      </c>
      <c r="L31" s="2" t="n">
        <v>12</v>
      </c>
      <c r="M31" s="2" t="s">
        <v>100</v>
      </c>
      <c r="N31" s="3" t="s">
        <v>108</v>
      </c>
      <c r="O31" s="2" t="s">
        <v>21</v>
      </c>
      <c r="P31" s="2" t="s">
        <v>22</v>
      </c>
      <c r="Q31" s="3" t="s">
        <v>110</v>
      </c>
    </row>
    <row r="32" customFormat="false" ht="30" hidden="false" customHeight="true" outlineLevel="0" collapsed="false">
      <c r="A32" s="2" t="n">
        <v>31</v>
      </c>
      <c r="B32" s="3" t="s">
        <v>111</v>
      </c>
      <c r="C32" s="3" t="s">
        <v>99</v>
      </c>
      <c r="D32" s="6" t="s">
        <v>107</v>
      </c>
      <c r="E32" s="5" t="n">
        <f aca="false">F32*0.35+G32*0.2+H32*0.2+I32*0.1+J32*0.15</f>
        <v>4.1</v>
      </c>
      <c r="F32" s="2" t="n">
        <v>4</v>
      </c>
      <c r="G32" s="2" t="n">
        <v>4</v>
      </c>
      <c r="H32" s="2" t="n">
        <v>4</v>
      </c>
      <c r="I32" s="2" t="n">
        <v>5</v>
      </c>
      <c r="J32" s="2" t="n">
        <v>4</v>
      </c>
      <c r="K32" s="2" t="n">
        <v>1482</v>
      </c>
      <c r="L32" s="2" t="n">
        <v>11</v>
      </c>
      <c r="M32" s="2" t="s">
        <v>100</v>
      </c>
      <c r="N32" s="3" t="s">
        <v>108</v>
      </c>
      <c r="O32" s="2" t="s">
        <v>21</v>
      </c>
      <c r="P32" s="2" t="s">
        <v>22</v>
      </c>
      <c r="Q32" s="3" t="s">
        <v>112</v>
      </c>
    </row>
    <row r="33" customFormat="false" ht="30" hidden="false" customHeight="true" outlineLevel="0" collapsed="false">
      <c r="A33" s="2" t="n">
        <v>32</v>
      </c>
      <c r="B33" s="3" t="s">
        <v>113</v>
      </c>
      <c r="C33" s="3" t="s">
        <v>99</v>
      </c>
      <c r="D33" s="6" t="s">
        <v>107</v>
      </c>
      <c r="E33" s="5" t="n">
        <f aca="false">F33*0.35+G33*0.2+H33*0.2+I33*0.1+J33*0.15</f>
        <v>4.0205</v>
      </c>
      <c r="F33" s="2" t="n">
        <v>5</v>
      </c>
      <c r="G33" s="2" t="n">
        <v>2.48</v>
      </c>
      <c r="H33" s="2" t="n">
        <v>3.2</v>
      </c>
      <c r="I33" s="2" t="n">
        <v>5</v>
      </c>
      <c r="J33" s="2" t="n">
        <v>4.23</v>
      </c>
      <c r="K33" s="2" t="n">
        <v>1349</v>
      </c>
      <c r="L33" s="2" t="n">
        <v>10</v>
      </c>
      <c r="M33" s="2" t="s">
        <v>100</v>
      </c>
      <c r="N33" s="3" t="s">
        <v>108</v>
      </c>
      <c r="O33" s="2" t="s">
        <v>73</v>
      </c>
      <c r="P33" s="2" t="s">
        <v>22</v>
      </c>
      <c r="Q33" s="3"/>
    </row>
    <row r="34" customFormat="false" ht="30" hidden="false" customHeight="true" outlineLevel="0" collapsed="false">
      <c r="A34" s="2" t="n">
        <v>33</v>
      </c>
      <c r="B34" s="3" t="s">
        <v>114</v>
      </c>
      <c r="C34" s="3" t="s">
        <v>99</v>
      </c>
      <c r="D34" s="6" t="s">
        <v>107</v>
      </c>
      <c r="E34" s="5" t="n">
        <f aca="false">F34*0.35+G34*0.2+H34*0.2+I34*0.1+J34*0.15</f>
        <v>4</v>
      </c>
      <c r="F34" s="2" t="n">
        <v>4</v>
      </c>
      <c r="G34" s="2" t="n">
        <v>4</v>
      </c>
      <c r="H34" s="2" t="n">
        <v>4</v>
      </c>
      <c r="I34" s="2" t="n">
        <v>4</v>
      </c>
      <c r="J34" s="2" t="n">
        <v>4</v>
      </c>
      <c r="K34" s="2" t="n">
        <v>1519</v>
      </c>
      <c r="L34" s="2" t="n">
        <v>11</v>
      </c>
      <c r="M34" s="2" t="s">
        <v>100</v>
      </c>
      <c r="N34" s="3" t="s">
        <v>108</v>
      </c>
      <c r="O34" s="2" t="s">
        <v>21</v>
      </c>
      <c r="P34" s="2" t="s">
        <v>22</v>
      </c>
      <c r="Q34" s="3" t="s">
        <v>115</v>
      </c>
    </row>
    <row r="35" customFormat="false" ht="30" hidden="false" customHeight="true" outlineLevel="0" collapsed="false">
      <c r="A35" s="2" t="n">
        <v>34</v>
      </c>
      <c r="B35" s="3" t="s">
        <v>116</v>
      </c>
      <c r="C35" s="3" t="s">
        <v>99</v>
      </c>
      <c r="D35" s="6" t="s">
        <v>107</v>
      </c>
      <c r="E35" s="5" t="n">
        <f aca="false">F35*0.35+G35*0.2+H35*0.2+I35*0.1+J35*0.15</f>
        <v>4</v>
      </c>
      <c r="F35" s="2" t="n">
        <v>4</v>
      </c>
      <c r="G35" s="2" t="n">
        <v>4</v>
      </c>
      <c r="H35" s="2" t="n">
        <v>4</v>
      </c>
      <c r="I35" s="2" t="n">
        <v>4</v>
      </c>
      <c r="J35" s="2" t="n">
        <v>4</v>
      </c>
      <c r="K35" s="2" t="n">
        <v>2043</v>
      </c>
      <c r="L35" s="2" t="n">
        <v>15</v>
      </c>
      <c r="M35" s="2" t="s">
        <v>100</v>
      </c>
      <c r="N35" s="3" t="s">
        <v>108</v>
      </c>
      <c r="O35" s="2" t="s">
        <v>21</v>
      </c>
      <c r="P35" s="2" t="s">
        <v>22</v>
      </c>
      <c r="Q35" s="3" t="s">
        <v>117</v>
      </c>
    </row>
    <row r="36" customFormat="false" ht="30" hidden="false" customHeight="true" outlineLevel="0" collapsed="false">
      <c r="A36" s="2" t="n">
        <v>35</v>
      </c>
      <c r="B36" s="3" t="s">
        <v>118</v>
      </c>
      <c r="C36" s="3"/>
      <c r="D36" s="6" t="s">
        <v>107</v>
      </c>
      <c r="E36" s="5" t="n">
        <f aca="false">F36*0.35+G36*0.2+H36*0.2+I36*0.1+J36*0.15</f>
        <v>4</v>
      </c>
      <c r="F36" s="2" t="n">
        <v>4</v>
      </c>
      <c r="G36" s="2" t="n">
        <v>4</v>
      </c>
      <c r="H36" s="2" t="n">
        <v>4</v>
      </c>
      <c r="I36" s="2" t="n">
        <v>4</v>
      </c>
      <c r="J36" s="2" t="n">
        <v>4</v>
      </c>
      <c r="K36" s="2" t="n">
        <v>1952</v>
      </c>
      <c r="L36" s="2" t="n">
        <v>14</v>
      </c>
      <c r="M36" s="2" t="s">
        <v>119</v>
      </c>
      <c r="N36" s="3" t="s">
        <v>120</v>
      </c>
      <c r="O36" s="2" t="s">
        <v>21</v>
      </c>
      <c r="P36" s="2" t="s">
        <v>22</v>
      </c>
      <c r="Q36" s="3" t="s">
        <v>121</v>
      </c>
    </row>
    <row r="37" customFormat="false" ht="30" hidden="false" customHeight="true" outlineLevel="0" collapsed="false">
      <c r="A37" s="2" t="n">
        <v>36</v>
      </c>
      <c r="B37" s="3" t="s">
        <v>122</v>
      </c>
      <c r="C37" s="3"/>
      <c r="D37" s="6" t="s">
        <v>107</v>
      </c>
      <c r="E37" s="5" t="n">
        <f aca="false">F37*0.35+G37*0.2+H37*0.2+I37*0.1+J37*0.15</f>
        <v>4</v>
      </c>
      <c r="F37" s="2" t="n">
        <v>4</v>
      </c>
      <c r="G37" s="2" t="n">
        <v>4</v>
      </c>
      <c r="H37" s="2" t="n">
        <v>4</v>
      </c>
      <c r="I37" s="2" t="n">
        <v>4</v>
      </c>
      <c r="J37" s="2" t="n">
        <v>4</v>
      </c>
      <c r="K37" s="2" t="n">
        <v>1304</v>
      </c>
      <c r="L37" s="2" t="n">
        <v>10</v>
      </c>
      <c r="M37" s="2" t="s">
        <v>123</v>
      </c>
      <c r="N37" s="3" t="s">
        <v>124</v>
      </c>
      <c r="O37" s="2" t="s">
        <v>21</v>
      </c>
      <c r="P37" s="2" t="s">
        <v>22</v>
      </c>
      <c r="Q37" s="3" t="s">
        <v>125</v>
      </c>
    </row>
    <row r="38" customFormat="false" ht="30" hidden="false" customHeight="true" outlineLevel="0" collapsed="false">
      <c r="A38" s="2" t="n">
        <v>37</v>
      </c>
      <c r="B38" s="3" t="s">
        <v>126</v>
      </c>
      <c r="C38" s="3" t="s">
        <v>99</v>
      </c>
      <c r="D38" s="6" t="s">
        <v>107</v>
      </c>
      <c r="E38" s="5" t="n">
        <f aca="false">F38*0.35+G38*0.2+H38*0.2+I38*0.1+J38*0.15</f>
        <v>3.9835</v>
      </c>
      <c r="F38" s="2" t="n">
        <v>5</v>
      </c>
      <c r="G38" s="2" t="n">
        <v>2.22</v>
      </c>
      <c r="H38" s="2" t="n">
        <v>3.2</v>
      </c>
      <c r="I38" s="2" t="n">
        <v>5</v>
      </c>
      <c r="J38" s="2" t="n">
        <v>4.33</v>
      </c>
      <c r="K38" s="2" t="n">
        <v>1380</v>
      </c>
      <c r="L38" s="2" t="n">
        <v>10</v>
      </c>
      <c r="M38" s="2" t="s">
        <v>100</v>
      </c>
      <c r="N38" s="3" t="s">
        <v>108</v>
      </c>
      <c r="O38" s="2" t="s">
        <v>73</v>
      </c>
      <c r="P38" s="2" t="s">
        <v>22</v>
      </c>
      <c r="Q38" s="3"/>
    </row>
    <row r="39" customFormat="false" ht="30" hidden="false" customHeight="true" outlineLevel="0" collapsed="false">
      <c r="A39" s="2" t="n">
        <v>38</v>
      </c>
      <c r="B39" s="3" t="s">
        <v>127</v>
      </c>
      <c r="C39" s="3" t="s">
        <v>35</v>
      </c>
      <c r="D39" s="6" t="s">
        <v>107</v>
      </c>
      <c r="E39" s="5" t="n">
        <f aca="false">F39*0.35+G39*0.2+H39*0.2+I39*0.1+J39*0.15</f>
        <v>3.982</v>
      </c>
      <c r="F39" s="2" t="n">
        <v>4.92</v>
      </c>
      <c r="G39" s="2" t="n">
        <v>3.58</v>
      </c>
      <c r="H39" s="2" t="n">
        <v>3.2</v>
      </c>
      <c r="I39" s="2" t="n">
        <v>4</v>
      </c>
      <c r="J39" s="2" t="n">
        <v>3.36</v>
      </c>
      <c r="K39" s="2" t="n">
        <v>2316</v>
      </c>
      <c r="L39" s="2" t="n">
        <v>17</v>
      </c>
      <c r="M39" s="2" t="s">
        <v>89</v>
      </c>
      <c r="N39" s="3" t="s">
        <v>90</v>
      </c>
      <c r="O39" s="2" t="s">
        <v>73</v>
      </c>
      <c r="P39" s="2" t="s">
        <v>22</v>
      </c>
      <c r="Q39" s="3"/>
    </row>
    <row r="40" customFormat="false" ht="30" hidden="false" customHeight="true" outlineLevel="0" collapsed="false">
      <c r="A40" s="2" t="n">
        <v>39</v>
      </c>
      <c r="B40" s="3" t="s">
        <v>128</v>
      </c>
      <c r="C40" s="3"/>
      <c r="D40" s="6" t="s">
        <v>107</v>
      </c>
      <c r="E40" s="5" t="n">
        <f aca="false">F40*0.35+G40*0.2+H40*0.2+I40*0.1+J40*0.15</f>
        <v>3.956</v>
      </c>
      <c r="F40" s="2" t="n">
        <v>5</v>
      </c>
      <c r="G40" s="2" t="n">
        <v>2.36</v>
      </c>
      <c r="H40" s="2" t="n">
        <v>3.2</v>
      </c>
      <c r="I40" s="2" t="n">
        <v>5</v>
      </c>
      <c r="J40" s="2" t="n">
        <v>3.96</v>
      </c>
      <c r="K40" s="2" t="n">
        <v>1472</v>
      </c>
      <c r="L40" s="2" t="n">
        <v>11</v>
      </c>
      <c r="M40" s="2" t="s">
        <v>100</v>
      </c>
      <c r="N40" s="3" t="s">
        <v>129</v>
      </c>
      <c r="O40" s="2" t="s">
        <v>73</v>
      </c>
      <c r="P40" s="2" t="s">
        <v>22</v>
      </c>
      <c r="Q40" s="3"/>
    </row>
    <row r="41" customFormat="false" ht="30" hidden="false" customHeight="true" outlineLevel="0" collapsed="false">
      <c r="A41" s="2" t="n">
        <v>40</v>
      </c>
      <c r="B41" s="3" t="s">
        <v>130</v>
      </c>
      <c r="C41" s="3"/>
      <c r="D41" s="6" t="s">
        <v>107</v>
      </c>
      <c r="E41" s="5" t="n">
        <f aca="false">F41*0.35+G41*0.2+H41*0.2+I41*0.1+J41*0.15</f>
        <v>3.911</v>
      </c>
      <c r="F41" s="2" t="n">
        <v>5</v>
      </c>
      <c r="G41" s="2" t="n">
        <v>2.66</v>
      </c>
      <c r="H41" s="2" t="n">
        <v>3.2</v>
      </c>
      <c r="I41" s="2" t="n">
        <v>5</v>
      </c>
      <c r="J41" s="2" t="n">
        <v>3.26</v>
      </c>
      <c r="K41" s="2" t="n">
        <v>602</v>
      </c>
      <c r="L41" s="2" t="n">
        <v>4</v>
      </c>
      <c r="M41" s="2" t="s">
        <v>131</v>
      </c>
      <c r="N41" s="3" t="s">
        <v>132</v>
      </c>
      <c r="O41" s="2" t="s">
        <v>73</v>
      </c>
      <c r="P41" s="2" t="s">
        <v>22</v>
      </c>
      <c r="Q41" s="3"/>
    </row>
    <row r="42" customFormat="false" ht="30" hidden="false" customHeight="true" outlineLevel="0" collapsed="false">
      <c r="A42" s="2" t="n">
        <v>41</v>
      </c>
      <c r="B42" s="3" t="s">
        <v>133</v>
      </c>
      <c r="C42" s="3" t="s">
        <v>58</v>
      </c>
      <c r="D42" s="6" t="s">
        <v>107</v>
      </c>
      <c r="E42" s="5" t="n">
        <f aca="false">F42*0.35+G42*0.2+H42*0.2+I42*0.1+J42*0.15</f>
        <v>3.9</v>
      </c>
      <c r="F42" s="2" t="n">
        <v>3</v>
      </c>
      <c r="G42" s="2" t="n">
        <v>4</v>
      </c>
      <c r="H42" s="2" t="n">
        <v>4</v>
      </c>
      <c r="I42" s="2" t="n">
        <v>5</v>
      </c>
      <c r="J42" s="2" t="n">
        <v>5</v>
      </c>
      <c r="K42" s="2" t="n">
        <v>1728</v>
      </c>
      <c r="L42" s="2" t="n">
        <v>13</v>
      </c>
      <c r="M42" s="2" t="s">
        <v>134</v>
      </c>
      <c r="N42" s="3" t="s">
        <v>135</v>
      </c>
      <c r="O42" s="2" t="s">
        <v>21</v>
      </c>
      <c r="P42" s="2" t="s">
        <v>22</v>
      </c>
      <c r="Q42" s="3" t="s">
        <v>136</v>
      </c>
    </row>
    <row r="43" customFormat="false" ht="30" hidden="false" customHeight="true" outlineLevel="0" collapsed="false">
      <c r="A43" s="2" t="n">
        <v>42</v>
      </c>
      <c r="B43" s="3" t="s">
        <v>137</v>
      </c>
      <c r="C43" s="3" t="s">
        <v>58</v>
      </c>
      <c r="D43" s="6" t="s">
        <v>107</v>
      </c>
      <c r="E43" s="5" t="n">
        <f aca="false">F43*0.35+G43*0.2+H43*0.2+I43*0.1+J43*0.15</f>
        <v>3.873</v>
      </c>
      <c r="F43" s="2" t="n">
        <v>4</v>
      </c>
      <c r="G43" s="2" t="n">
        <v>3.14</v>
      </c>
      <c r="H43" s="2" t="n">
        <v>3.2</v>
      </c>
      <c r="I43" s="2" t="n">
        <v>5</v>
      </c>
      <c r="J43" s="2" t="n">
        <v>4.7</v>
      </c>
      <c r="K43" s="2" t="n">
        <v>701</v>
      </c>
      <c r="L43" s="2" t="n">
        <v>5</v>
      </c>
      <c r="M43" s="2" t="s">
        <v>134</v>
      </c>
      <c r="N43" s="3" t="s">
        <v>135</v>
      </c>
      <c r="O43" s="2" t="s">
        <v>73</v>
      </c>
      <c r="P43" s="2" t="s">
        <v>22</v>
      </c>
      <c r="Q43" s="3"/>
    </row>
    <row r="44" customFormat="false" ht="30" hidden="false" customHeight="true" outlineLevel="0" collapsed="false">
      <c r="A44" s="2" t="n">
        <v>43</v>
      </c>
      <c r="B44" s="3" t="s">
        <v>138</v>
      </c>
      <c r="C44" s="3" t="s">
        <v>99</v>
      </c>
      <c r="D44" s="6" t="s">
        <v>107</v>
      </c>
      <c r="E44" s="5" t="n">
        <f aca="false">F44*0.35+G44*0.2+H44*0.2+I44*0.1+J44*0.15</f>
        <v>3.85</v>
      </c>
      <c r="F44" s="2" t="n">
        <v>4</v>
      </c>
      <c r="G44" s="2" t="n">
        <v>4</v>
      </c>
      <c r="H44" s="2" t="n">
        <v>4</v>
      </c>
      <c r="I44" s="2" t="n">
        <v>4</v>
      </c>
      <c r="J44" s="2" t="n">
        <v>3</v>
      </c>
      <c r="K44" s="2" t="n">
        <v>1327</v>
      </c>
      <c r="L44" s="2" t="n">
        <v>10</v>
      </c>
      <c r="M44" s="2" t="s">
        <v>100</v>
      </c>
      <c r="N44" s="3" t="s">
        <v>101</v>
      </c>
      <c r="O44" s="2" t="s">
        <v>21</v>
      </c>
      <c r="P44" s="2" t="s">
        <v>22</v>
      </c>
      <c r="Q44" s="3" t="s">
        <v>139</v>
      </c>
    </row>
    <row r="45" customFormat="false" ht="30" hidden="false" customHeight="true" outlineLevel="0" collapsed="false">
      <c r="A45" s="2" t="n">
        <v>44</v>
      </c>
      <c r="B45" s="3" t="s">
        <v>140</v>
      </c>
      <c r="C45" s="3" t="s">
        <v>35</v>
      </c>
      <c r="D45" s="6" t="s">
        <v>107</v>
      </c>
      <c r="E45" s="5" t="n">
        <f aca="false">F45*0.35+G45*0.2+H45*0.2+I45*0.1+J45*0.15</f>
        <v>3.833</v>
      </c>
      <c r="F45" s="2" t="n">
        <v>3.04</v>
      </c>
      <c r="G45" s="2" t="n">
        <v>4.44</v>
      </c>
      <c r="H45" s="2" t="n">
        <v>3.2</v>
      </c>
      <c r="I45" s="2" t="n">
        <v>5</v>
      </c>
      <c r="J45" s="2" t="n">
        <v>4.94</v>
      </c>
      <c r="K45" s="2" t="n">
        <v>1029</v>
      </c>
      <c r="L45" s="2" t="n">
        <v>8</v>
      </c>
      <c r="M45" s="2" t="s">
        <v>141</v>
      </c>
      <c r="N45" s="3" t="s">
        <v>142</v>
      </c>
      <c r="O45" s="2" t="s">
        <v>73</v>
      </c>
      <c r="P45" s="2" t="s">
        <v>22</v>
      </c>
      <c r="Q45" s="3"/>
    </row>
    <row r="46" customFormat="false" ht="30" hidden="false" customHeight="true" outlineLevel="0" collapsed="false">
      <c r="A46" s="2" t="n">
        <v>45</v>
      </c>
      <c r="B46" s="3" t="s">
        <v>143</v>
      </c>
      <c r="C46" s="3"/>
      <c r="D46" s="6" t="s">
        <v>107</v>
      </c>
      <c r="E46" s="5" t="n">
        <f aca="false">F46*0.35+G46*0.2+H46*0.2+I46*0.1+J46*0.15</f>
        <v>3.8145</v>
      </c>
      <c r="F46" s="2" t="n">
        <v>5</v>
      </c>
      <c r="G46" s="2" t="n">
        <v>3.03</v>
      </c>
      <c r="H46" s="2" t="n">
        <v>3.2</v>
      </c>
      <c r="I46" s="2" t="n">
        <v>2.5</v>
      </c>
      <c r="J46" s="2" t="n">
        <v>3.79</v>
      </c>
      <c r="K46" s="2" t="n">
        <v>246</v>
      </c>
      <c r="L46" s="2" t="n">
        <v>2</v>
      </c>
      <c r="M46" s="2" t="s">
        <v>144</v>
      </c>
      <c r="N46" s="3" t="s">
        <v>145</v>
      </c>
      <c r="O46" s="2" t="s">
        <v>73</v>
      </c>
      <c r="P46" s="2" t="s">
        <v>22</v>
      </c>
      <c r="Q46" s="3"/>
    </row>
    <row r="47" customFormat="false" ht="30" hidden="false" customHeight="true" outlineLevel="0" collapsed="false">
      <c r="A47" s="2" t="n">
        <v>46</v>
      </c>
      <c r="B47" s="3" t="s">
        <v>146</v>
      </c>
      <c r="C47" s="3"/>
      <c r="D47" s="6" t="s">
        <v>107</v>
      </c>
      <c r="E47" s="5" t="n">
        <f aca="false">F47*0.35+G47*0.2+H47*0.2+I47*0.1+J47*0.15</f>
        <v>3.8</v>
      </c>
      <c r="F47" s="2" t="n">
        <v>4</v>
      </c>
      <c r="G47" s="2" t="n">
        <v>3</v>
      </c>
      <c r="H47" s="2" t="n">
        <v>4</v>
      </c>
      <c r="I47" s="2" t="n">
        <v>4</v>
      </c>
      <c r="J47" s="2" t="n">
        <v>4</v>
      </c>
      <c r="K47" s="2" t="n">
        <v>1286</v>
      </c>
      <c r="L47" s="2" t="n">
        <v>10</v>
      </c>
      <c r="M47" s="2" t="s">
        <v>147</v>
      </c>
      <c r="N47" s="3" t="s">
        <v>148</v>
      </c>
      <c r="O47" s="2" t="s">
        <v>21</v>
      </c>
      <c r="P47" s="2" t="s">
        <v>22</v>
      </c>
      <c r="Q47" s="3" t="s">
        <v>149</v>
      </c>
    </row>
    <row r="48" customFormat="false" ht="30" hidden="false" customHeight="true" outlineLevel="0" collapsed="false">
      <c r="A48" s="2" t="n">
        <v>47</v>
      </c>
      <c r="B48" s="3" t="s">
        <v>150</v>
      </c>
      <c r="C48" s="3" t="s">
        <v>30</v>
      </c>
      <c r="D48" s="6" t="s">
        <v>107</v>
      </c>
      <c r="E48" s="5" t="n">
        <f aca="false">F48*0.35+G48*0.2+H48*0.2+I48*0.1+J48*0.15</f>
        <v>3.7975</v>
      </c>
      <c r="F48" s="2" t="n">
        <v>3.75</v>
      </c>
      <c r="G48" s="2" t="n">
        <v>3.29</v>
      </c>
      <c r="H48" s="2" t="n">
        <v>3.2</v>
      </c>
      <c r="I48" s="2" t="n">
        <v>5</v>
      </c>
      <c r="J48" s="2" t="n">
        <v>4.58</v>
      </c>
      <c r="K48" s="2" t="n">
        <v>1399</v>
      </c>
      <c r="L48" s="2" t="n">
        <v>10</v>
      </c>
      <c r="M48" s="2" t="s">
        <v>31</v>
      </c>
      <c r="N48" s="3" t="s">
        <v>32</v>
      </c>
      <c r="O48" s="2" t="s">
        <v>73</v>
      </c>
      <c r="P48" s="2" t="s">
        <v>22</v>
      </c>
      <c r="Q48" s="3"/>
    </row>
    <row r="49" customFormat="false" ht="30" hidden="false" customHeight="true" outlineLevel="0" collapsed="false">
      <c r="A49" s="2" t="n">
        <v>48</v>
      </c>
      <c r="B49" s="3" t="s">
        <v>151</v>
      </c>
      <c r="C49" s="3" t="s">
        <v>99</v>
      </c>
      <c r="D49" s="6" t="s">
        <v>107</v>
      </c>
      <c r="E49" s="5" t="n">
        <f aca="false">F49*0.35+G49*0.2+H49*0.2+I49*0.1+J49*0.15</f>
        <v>3.7915</v>
      </c>
      <c r="F49" s="2" t="n">
        <v>5</v>
      </c>
      <c r="G49" s="2" t="n">
        <v>1.8</v>
      </c>
      <c r="H49" s="2" t="n">
        <v>3.2</v>
      </c>
      <c r="I49" s="2" t="n">
        <v>5</v>
      </c>
      <c r="J49" s="2" t="n">
        <v>3.61</v>
      </c>
      <c r="K49" s="2" t="n">
        <v>1881</v>
      </c>
      <c r="L49" s="2" t="n">
        <v>14</v>
      </c>
      <c r="M49" s="2" t="s">
        <v>100</v>
      </c>
      <c r="N49" s="3" t="s">
        <v>108</v>
      </c>
      <c r="O49" s="2" t="s">
        <v>73</v>
      </c>
      <c r="P49" s="2" t="s">
        <v>22</v>
      </c>
      <c r="Q49" s="3"/>
    </row>
    <row r="50" customFormat="false" ht="30" hidden="false" customHeight="true" outlineLevel="0" collapsed="false">
      <c r="A50" s="2" t="n">
        <v>49</v>
      </c>
      <c r="B50" s="3" t="s">
        <v>152</v>
      </c>
      <c r="C50" s="3"/>
      <c r="D50" s="6" t="s">
        <v>107</v>
      </c>
      <c r="E50" s="5" t="n">
        <f aca="false">F50*0.35+G50*0.2+H50*0.2+I50*0.1+J50*0.15</f>
        <v>3.6975</v>
      </c>
      <c r="F50" s="2" t="n">
        <v>4.25</v>
      </c>
      <c r="G50" s="2" t="n">
        <v>1.84</v>
      </c>
      <c r="H50" s="2" t="n">
        <v>3.2</v>
      </c>
      <c r="I50" s="2" t="n">
        <v>5</v>
      </c>
      <c r="J50" s="2" t="n">
        <v>4.68</v>
      </c>
      <c r="K50" s="2" t="n">
        <v>1454</v>
      </c>
      <c r="L50" s="2" t="n">
        <v>11</v>
      </c>
      <c r="M50" s="2" t="s">
        <v>31</v>
      </c>
      <c r="N50" s="3" t="s">
        <v>32</v>
      </c>
      <c r="O50" s="2" t="s">
        <v>73</v>
      </c>
      <c r="P50" s="2" t="s">
        <v>22</v>
      </c>
      <c r="Q50" s="3"/>
    </row>
    <row r="51" customFormat="false" ht="30" hidden="false" customHeight="true" outlineLevel="0" collapsed="false">
      <c r="A51" s="2" t="n">
        <v>50</v>
      </c>
      <c r="B51" s="3" t="s">
        <v>153</v>
      </c>
      <c r="C51" s="3" t="s">
        <v>99</v>
      </c>
      <c r="D51" s="6" t="s">
        <v>107</v>
      </c>
      <c r="E51" s="5" t="n">
        <f aca="false">F51*0.35+G51*0.2+H51*0.2+I51*0.1+J51*0.15</f>
        <v>3.668</v>
      </c>
      <c r="F51" s="2" t="n">
        <v>5</v>
      </c>
      <c r="G51" s="2" t="n">
        <v>2.24</v>
      </c>
      <c r="H51" s="2" t="n">
        <v>3.2</v>
      </c>
      <c r="I51" s="2" t="n">
        <v>5</v>
      </c>
      <c r="J51" s="2" t="n">
        <v>2.2</v>
      </c>
      <c r="K51" s="2" t="n">
        <v>1211</v>
      </c>
      <c r="L51" s="2" t="n">
        <v>9</v>
      </c>
      <c r="M51" s="2" t="s">
        <v>100</v>
      </c>
      <c r="N51" s="3" t="s">
        <v>101</v>
      </c>
      <c r="O51" s="2" t="s">
        <v>73</v>
      </c>
      <c r="P51" s="2" t="s">
        <v>22</v>
      </c>
      <c r="Q51" s="3"/>
    </row>
    <row r="52" customFormat="false" ht="30" hidden="false" customHeight="true" outlineLevel="0" collapsed="false">
      <c r="A52" s="2" t="n">
        <v>51</v>
      </c>
      <c r="B52" s="3" t="s">
        <v>154</v>
      </c>
      <c r="C52" s="3"/>
      <c r="D52" s="6" t="s">
        <v>107</v>
      </c>
      <c r="E52" s="5" t="n">
        <f aca="false">F52*0.35+G52*0.2+H52*0.2+I52*0.1+J52*0.15</f>
        <v>3.65</v>
      </c>
      <c r="F52" s="2" t="n">
        <v>4</v>
      </c>
      <c r="G52" s="2" t="n">
        <v>4</v>
      </c>
      <c r="H52" s="2" t="n">
        <v>4</v>
      </c>
      <c r="I52" s="2" t="n">
        <v>2</v>
      </c>
      <c r="J52" s="2" t="n">
        <v>3</v>
      </c>
      <c r="K52" s="2" t="n">
        <v>232</v>
      </c>
      <c r="L52" s="2" t="n">
        <v>2</v>
      </c>
      <c r="M52" s="2" t="s">
        <v>144</v>
      </c>
      <c r="N52" s="3" t="s">
        <v>145</v>
      </c>
      <c r="O52" s="2" t="s">
        <v>21</v>
      </c>
      <c r="P52" s="2" t="s">
        <v>22</v>
      </c>
      <c r="Q52" s="3" t="s">
        <v>155</v>
      </c>
    </row>
    <row r="53" customFormat="false" ht="30" hidden="false" customHeight="true" outlineLevel="0" collapsed="false">
      <c r="A53" s="2" t="n">
        <v>52</v>
      </c>
      <c r="B53" s="3" t="s">
        <v>156</v>
      </c>
      <c r="C53" s="3"/>
      <c r="D53" s="6" t="s">
        <v>107</v>
      </c>
      <c r="E53" s="5" t="n">
        <f aca="false">F53*0.35+G53*0.2+H53*0.2+I53*0.1+J53*0.15</f>
        <v>3.65</v>
      </c>
      <c r="F53" s="2" t="n">
        <v>3</v>
      </c>
      <c r="G53" s="2" t="n">
        <v>3</v>
      </c>
      <c r="H53" s="2" t="n">
        <v>5</v>
      </c>
      <c r="I53" s="2" t="n">
        <v>4</v>
      </c>
      <c r="J53" s="2" t="n">
        <v>4</v>
      </c>
      <c r="K53" s="2" t="n">
        <v>1617</v>
      </c>
      <c r="L53" s="2" t="n">
        <v>12</v>
      </c>
      <c r="M53" s="2" t="s">
        <v>157</v>
      </c>
      <c r="N53" s="3" t="s">
        <v>158</v>
      </c>
      <c r="O53" s="2" t="s">
        <v>21</v>
      </c>
      <c r="P53" s="2" t="s">
        <v>22</v>
      </c>
      <c r="Q53" s="3" t="s">
        <v>159</v>
      </c>
    </row>
    <row r="54" customFormat="false" ht="30" hidden="false" customHeight="true" outlineLevel="0" collapsed="false">
      <c r="A54" s="2" t="n">
        <v>53</v>
      </c>
      <c r="B54" s="3" t="s">
        <v>160</v>
      </c>
      <c r="C54" s="3" t="s">
        <v>35</v>
      </c>
      <c r="D54" s="6" t="s">
        <v>107</v>
      </c>
      <c r="E54" s="5" t="n">
        <f aca="false">F54*0.35+G54*0.2+H54*0.2+I54*0.1+J54*0.15</f>
        <v>3.6195</v>
      </c>
      <c r="F54" s="2" t="n">
        <v>2.51</v>
      </c>
      <c r="G54" s="2" t="n">
        <v>4.66</v>
      </c>
      <c r="H54" s="2" t="n">
        <v>3.2</v>
      </c>
      <c r="I54" s="2" t="n">
        <v>5</v>
      </c>
      <c r="J54" s="2" t="n">
        <v>4.46</v>
      </c>
      <c r="K54" s="2" t="n">
        <v>1391</v>
      </c>
      <c r="L54" s="2" t="n">
        <v>10</v>
      </c>
      <c r="M54" s="2" t="s">
        <v>161</v>
      </c>
      <c r="N54" s="3" t="s">
        <v>162</v>
      </c>
      <c r="O54" s="2" t="s">
        <v>73</v>
      </c>
      <c r="P54" s="2" t="s">
        <v>22</v>
      </c>
      <c r="Q54" s="3"/>
    </row>
    <row r="55" customFormat="false" ht="30" hidden="false" customHeight="true" outlineLevel="0" collapsed="false">
      <c r="A55" s="2" t="n">
        <v>54</v>
      </c>
      <c r="B55" s="3" t="s">
        <v>163</v>
      </c>
      <c r="C55" s="3" t="s">
        <v>99</v>
      </c>
      <c r="D55" s="6" t="s">
        <v>107</v>
      </c>
      <c r="E55" s="5" t="n">
        <f aca="false">F55*0.35+G55*0.2+H55*0.2+I55*0.1+J55*0.15</f>
        <v>3.608</v>
      </c>
      <c r="F55" s="2" t="n">
        <v>5</v>
      </c>
      <c r="G55" s="2" t="n">
        <v>1.94</v>
      </c>
      <c r="H55" s="2" t="n">
        <v>3.2</v>
      </c>
      <c r="I55" s="2" t="n">
        <v>5</v>
      </c>
      <c r="J55" s="2" t="n">
        <v>2.2</v>
      </c>
      <c r="K55" s="2" t="n">
        <v>1065</v>
      </c>
      <c r="L55" s="2" t="n">
        <v>8</v>
      </c>
      <c r="M55" s="2" t="s">
        <v>100</v>
      </c>
      <c r="N55" s="3" t="s">
        <v>101</v>
      </c>
      <c r="O55" s="2" t="s">
        <v>73</v>
      </c>
      <c r="P55" s="2" t="s">
        <v>22</v>
      </c>
      <c r="Q55" s="3"/>
    </row>
    <row r="56" customFormat="false" ht="30" hidden="false" customHeight="true" outlineLevel="0" collapsed="false">
      <c r="A56" s="2" t="n">
        <v>55</v>
      </c>
      <c r="B56" s="3" t="s">
        <v>164</v>
      </c>
      <c r="C56" s="3" t="s">
        <v>165</v>
      </c>
      <c r="D56" s="7" t="s">
        <v>166</v>
      </c>
      <c r="E56" s="5" t="n">
        <f aca="false">F56*0.35+G56*0.2+H56*0.2+I56*0.1+J56*0.15</f>
        <v>3.599</v>
      </c>
      <c r="F56" s="2" t="n">
        <v>5</v>
      </c>
      <c r="G56" s="2" t="n">
        <v>1</v>
      </c>
      <c r="H56" s="2" t="n">
        <v>3.2</v>
      </c>
      <c r="I56" s="2" t="n">
        <v>4.6</v>
      </c>
      <c r="J56" s="2" t="n">
        <v>3.66</v>
      </c>
      <c r="K56" s="2" t="n">
        <v>744</v>
      </c>
      <c r="L56" s="2" t="n">
        <v>6</v>
      </c>
      <c r="M56" s="2" t="s">
        <v>167</v>
      </c>
      <c r="N56" s="3" t="s">
        <v>168</v>
      </c>
      <c r="O56" s="2" t="s">
        <v>73</v>
      </c>
      <c r="P56" s="2" t="s">
        <v>169</v>
      </c>
      <c r="Q56" s="3"/>
    </row>
    <row r="57" customFormat="false" ht="30" hidden="false" customHeight="true" outlineLevel="0" collapsed="false">
      <c r="A57" s="2" t="n">
        <v>56</v>
      </c>
      <c r="B57" s="3" t="s">
        <v>170</v>
      </c>
      <c r="C57" s="3" t="s">
        <v>58</v>
      </c>
      <c r="D57" s="7" t="s">
        <v>166</v>
      </c>
      <c r="E57" s="5" t="n">
        <f aca="false">F57*0.35+G57*0.2+H57*0.2+I57*0.1+J57*0.15</f>
        <v>3.5825</v>
      </c>
      <c r="F57" s="2" t="n">
        <v>4.07</v>
      </c>
      <c r="G57" s="2" t="n">
        <v>1.49</v>
      </c>
      <c r="H57" s="2" t="n">
        <v>3.2</v>
      </c>
      <c r="I57" s="2" t="n">
        <v>5</v>
      </c>
      <c r="J57" s="2" t="n">
        <v>4.8</v>
      </c>
      <c r="K57" s="2" t="n">
        <v>1026</v>
      </c>
      <c r="L57" s="2" t="n">
        <v>8</v>
      </c>
      <c r="M57" s="2" t="s">
        <v>134</v>
      </c>
      <c r="N57" s="3" t="s">
        <v>135</v>
      </c>
      <c r="O57" s="2" t="s">
        <v>73</v>
      </c>
      <c r="P57" s="2" t="s">
        <v>169</v>
      </c>
      <c r="Q57" s="3"/>
    </row>
    <row r="58" customFormat="false" ht="30" hidden="false" customHeight="true" outlineLevel="0" collapsed="false">
      <c r="A58" s="2" t="n">
        <v>57</v>
      </c>
      <c r="B58" s="3" t="s">
        <v>171</v>
      </c>
      <c r="C58" s="3" t="s">
        <v>172</v>
      </c>
      <c r="D58" s="7" t="s">
        <v>166</v>
      </c>
      <c r="E58" s="5" t="n">
        <f aca="false">F58*0.35+G58*0.2+H58*0.2+I58*0.1+J58*0.15</f>
        <v>3.557</v>
      </c>
      <c r="F58" s="2" t="n">
        <v>5</v>
      </c>
      <c r="G58" s="2" t="n">
        <v>2.56</v>
      </c>
      <c r="H58" s="2" t="n">
        <v>3.2</v>
      </c>
      <c r="I58" s="2" t="n">
        <v>2.5</v>
      </c>
      <c r="J58" s="2" t="n">
        <v>2.7</v>
      </c>
      <c r="K58" s="2" t="n">
        <v>320</v>
      </c>
      <c r="L58" s="2" t="n">
        <v>2</v>
      </c>
      <c r="M58" s="2" t="s">
        <v>84</v>
      </c>
      <c r="N58" s="3" t="s">
        <v>96</v>
      </c>
      <c r="O58" s="2" t="s">
        <v>73</v>
      </c>
      <c r="P58" s="2" t="s">
        <v>169</v>
      </c>
      <c r="Q58" s="3"/>
    </row>
    <row r="59" customFormat="false" ht="30" hidden="false" customHeight="true" outlineLevel="0" collapsed="false">
      <c r="A59" s="2" t="n">
        <v>58</v>
      </c>
      <c r="B59" s="3" t="s">
        <v>173</v>
      </c>
      <c r="C59" s="3" t="s">
        <v>35</v>
      </c>
      <c r="D59" s="7" t="s">
        <v>166</v>
      </c>
      <c r="E59" s="5" t="n">
        <f aca="false">F59*0.35+G59*0.2+H59*0.2+I59*0.1+J59*0.15</f>
        <v>3.5035</v>
      </c>
      <c r="F59" s="2" t="n">
        <v>3.25</v>
      </c>
      <c r="G59" s="2" t="n">
        <v>4.11</v>
      </c>
      <c r="H59" s="2" t="n">
        <v>3.2</v>
      </c>
      <c r="I59" s="2" t="n">
        <v>3.4</v>
      </c>
      <c r="J59" s="2" t="n">
        <v>3.76</v>
      </c>
      <c r="K59" s="2" t="n">
        <v>1863</v>
      </c>
      <c r="L59" s="2" t="n">
        <v>14</v>
      </c>
      <c r="M59" s="2" t="s">
        <v>44</v>
      </c>
      <c r="N59" s="3" t="s">
        <v>45</v>
      </c>
      <c r="O59" s="2" t="s">
        <v>73</v>
      </c>
      <c r="P59" s="2" t="s">
        <v>169</v>
      </c>
      <c r="Q59" s="3"/>
    </row>
    <row r="60" customFormat="false" ht="30" hidden="false" customHeight="true" outlineLevel="0" collapsed="false">
      <c r="A60" s="2" t="n">
        <v>59</v>
      </c>
      <c r="B60" s="3" t="s">
        <v>174</v>
      </c>
      <c r="C60" s="3"/>
      <c r="D60" s="7" t="s">
        <v>166</v>
      </c>
      <c r="E60" s="5" t="n">
        <f aca="false">F60*0.35+G60*0.2+H60*0.2+I60*0.1+J60*0.15</f>
        <v>3.4625</v>
      </c>
      <c r="F60" s="2" t="n">
        <v>3.04</v>
      </c>
      <c r="G60" s="2" t="n">
        <v>2.67</v>
      </c>
      <c r="H60" s="2" t="n">
        <v>3.2</v>
      </c>
      <c r="I60" s="2" t="n">
        <v>5</v>
      </c>
      <c r="J60" s="2" t="n">
        <v>4.83</v>
      </c>
      <c r="K60" s="2" t="n">
        <v>1714</v>
      </c>
      <c r="L60" s="2" t="n">
        <v>13</v>
      </c>
      <c r="M60" s="2" t="s">
        <v>26</v>
      </c>
      <c r="N60" s="3" t="s">
        <v>27</v>
      </c>
      <c r="O60" s="2" t="s">
        <v>73</v>
      </c>
      <c r="P60" s="2" t="s">
        <v>169</v>
      </c>
      <c r="Q60" s="3"/>
    </row>
    <row r="61" customFormat="false" ht="30" hidden="false" customHeight="true" outlineLevel="0" collapsed="false">
      <c r="A61" s="2" t="n">
        <v>60</v>
      </c>
      <c r="B61" s="3" t="s">
        <v>175</v>
      </c>
      <c r="C61" s="3" t="s">
        <v>35</v>
      </c>
      <c r="D61" s="7" t="s">
        <v>166</v>
      </c>
      <c r="E61" s="5" t="n">
        <f aca="false">F61*0.35+G61*0.2+H61*0.2+I61*0.1+J61*0.15</f>
        <v>3.4495</v>
      </c>
      <c r="F61" s="2" t="n">
        <v>3.18</v>
      </c>
      <c r="G61" s="2" t="n">
        <v>2.39</v>
      </c>
      <c r="H61" s="2" t="n">
        <v>3.2</v>
      </c>
      <c r="I61" s="2" t="n">
        <v>5</v>
      </c>
      <c r="J61" s="2" t="n">
        <v>4.79</v>
      </c>
      <c r="K61" s="2" t="n">
        <v>1124</v>
      </c>
      <c r="L61" s="2" t="n">
        <v>8</v>
      </c>
      <c r="M61" s="2" t="s">
        <v>141</v>
      </c>
      <c r="N61" s="3" t="s">
        <v>142</v>
      </c>
      <c r="O61" s="2" t="s">
        <v>73</v>
      </c>
      <c r="P61" s="2" t="s">
        <v>169</v>
      </c>
      <c r="Q61" s="3"/>
    </row>
    <row r="62" customFormat="false" ht="30" hidden="false" customHeight="true" outlineLevel="0" collapsed="false">
      <c r="A62" s="2" t="n">
        <v>61</v>
      </c>
      <c r="B62" s="3" t="s">
        <v>176</v>
      </c>
      <c r="C62" s="3" t="s">
        <v>58</v>
      </c>
      <c r="D62" s="7" t="s">
        <v>166</v>
      </c>
      <c r="E62" s="5" t="n">
        <f aca="false">F62*0.35+G62*0.2+H62*0.2+I62*0.1+J62*0.15</f>
        <v>3.45</v>
      </c>
      <c r="F62" s="2" t="n">
        <v>3</v>
      </c>
      <c r="G62" s="2" t="n">
        <v>3</v>
      </c>
      <c r="H62" s="2" t="n">
        <v>4</v>
      </c>
      <c r="I62" s="2" t="n">
        <v>4</v>
      </c>
      <c r="J62" s="2" t="n">
        <v>4</v>
      </c>
      <c r="K62" s="2" t="n">
        <v>1326</v>
      </c>
      <c r="L62" s="2" t="n">
        <v>10</v>
      </c>
      <c r="M62" s="2" t="s">
        <v>134</v>
      </c>
      <c r="N62" s="3" t="s">
        <v>135</v>
      </c>
      <c r="O62" s="2" t="s">
        <v>21</v>
      </c>
      <c r="P62" s="2" t="s">
        <v>169</v>
      </c>
      <c r="Q62" s="3" t="s">
        <v>177</v>
      </c>
    </row>
    <row r="63" customFormat="false" ht="30" hidden="false" customHeight="true" outlineLevel="0" collapsed="false">
      <c r="A63" s="2" t="n">
        <v>62</v>
      </c>
      <c r="B63" s="3" t="s">
        <v>178</v>
      </c>
      <c r="C63" s="3"/>
      <c r="D63" s="7" t="s">
        <v>166</v>
      </c>
      <c r="E63" s="5" t="n">
        <f aca="false">F63*0.35+G63*0.2+H63*0.2+I63*0.1+J63*0.15</f>
        <v>3.429</v>
      </c>
      <c r="F63" s="2" t="n">
        <v>3.53</v>
      </c>
      <c r="G63" s="2" t="n">
        <v>1.6</v>
      </c>
      <c r="H63" s="2" t="n">
        <v>3.2</v>
      </c>
      <c r="I63" s="2" t="n">
        <v>5</v>
      </c>
      <c r="J63" s="2" t="n">
        <v>4.89</v>
      </c>
      <c r="K63" s="2" t="n">
        <v>1661</v>
      </c>
      <c r="L63" s="2" t="n">
        <v>12</v>
      </c>
      <c r="M63" s="2" t="s">
        <v>31</v>
      </c>
      <c r="N63" s="3" t="s">
        <v>32</v>
      </c>
      <c r="O63" s="2" t="s">
        <v>73</v>
      </c>
      <c r="P63" s="2" t="s">
        <v>169</v>
      </c>
      <c r="Q63" s="3"/>
    </row>
    <row r="64" customFormat="false" ht="30" hidden="false" customHeight="true" outlineLevel="0" collapsed="false">
      <c r="A64" s="2" t="n">
        <v>63</v>
      </c>
      <c r="B64" s="3" t="s">
        <v>179</v>
      </c>
      <c r="C64" s="3" t="s">
        <v>165</v>
      </c>
      <c r="D64" s="7" t="s">
        <v>166</v>
      </c>
      <c r="E64" s="5" t="n">
        <f aca="false">F64*0.35+G64*0.2+H64*0.2+I64*0.1+J64*0.15</f>
        <v>3.395</v>
      </c>
      <c r="F64" s="2" t="n">
        <v>5</v>
      </c>
      <c r="G64" s="2" t="n">
        <v>1</v>
      </c>
      <c r="H64" s="2" t="n">
        <v>3.2</v>
      </c>
      <c r="I64" s="2" t="n">
        <v>2.5</v>
      </c>
      <c r="J64" s="2" t="n">
        <v>3.7</v>
      </c>
      <c r="K64" s="2" t="n">
        <v>251</v>
      </c>
      <c r="L64" s="2" t="n">
        <v>2</v>
      </c>
      <c r="M64" s="2" t="s">
        <v>167</v>
      </c>
      <c r="N64" s="3" t="s">
        <v>104</v>
      </c>
      <c r="O64" s="2" t="s">
        <v>73</v>
      </c>
      <c r="P64" s="2" t="s">
        <v>169</v>
      </c>
      <c r="Q64" s="3"/>
    </row>
    <row r="65" customFormat="false" ht="30" hidden="false" customHeight="true" outlineLevel="0" collapsed="false">
      <c r="A65" s="2" t="n">
        <v>64</v>
      </c>
      <c r="B65" s="3" t="s">
        <v>180</v>
      </c>
      <c r="C65" s="3"/>
      <c r="D65" s="7" t="s">
        <v>166</v>
      </c>
      <c r="E65" s="5" t="n">
        <f aca="false">F65*0.35+G65*0.2+H65*0.2+I65*0.1+J65*0.15</f>
        <v>3.37</v>
      </c>
      <c r="F65" s="2" t="n">
        <v>3.39</v>
      </c>
      <c r="G65" s="2" t="n">
        <v>3.28</v>
      </c>
      <c r="H65" s="2" t="n">
        <v>3.2</v>
      </c>
      <c r="I65" s="2" t="n">
        <v>4</v>
      </c>
      <c r="J65" s="2" t="n">
        <v>3.25</v>
      </c>
      <c r="K65" s="2" t="n">
        <v>439</v>
      </c>
      <c r="L65" s="2" t="n">
        <v>3</v>
      </c>
      <c r="M65" s="2" t="s">
        <v>103</v>
      </c>
      <c r="N65" s="3" t="s">
        <v>181</v>
      </c>
      <c r="O65" s="2" t="s">
        <v>73</v>
      </c>
      <c r="P65" s="2" t="s">
        <v>169</v>
      </c>
      <c r="Q65" s="3"/>
    </row>
    <row r="66" customFormat="false" ht="30" hidden="false" customHeight="true" outlineLevel="0" collapsed="false">
      <c r="A66" s="2" t="n">
        <v>65</v>
      </c>
      <c r="B66" s="3" t="s">
        <v>182</v>
      </c>
      <c r="C66" s="3"/>
      <c r="D66" s="7" t="s">
        <v>166</v>
      </c>
      <c r="E66" s="5" t="n">
        <f aca="false">F66*0.35+G66*0.2+H66*0.2+I66*0.1+J66*0.15</f>
        <v>3.31</v>
      </c>
      <c r="F66" s="2" t="n">
        <v>2.59</v>
      </c>
      <c r="G66" s="2" t="n">
        <v>3.25</v>
      </c>
      <c r="H66" s="2" t="n">
        <v>3.2</v>
      </c>
      <c r="I66" s="2" t="n">
        <v>5</v>
      </c>
      <c r="J66" s="2" t="n">
        <v>4.09</v>
      </c>
      <c r="K66" s="2" t="n">
        <v>1987</v>
      </c>
      <c r="L66" s="2" t="n">
        <v>15</v>
      </c>
      <c r="M66" s="2" t="s">
        <v>119</v>
      </c>
      <c r="N66" s="3" t="s">
        <v>120</v>
      </c>
      <c r="O66" s="2" t="s">
        <v>73</v>
      </c>
      <c r="P66" s="2" t="s">
        <v>169</v>
      </c>
      <c r="Q66" s="3"/>
    </row>
    <row r="67" customFormat="false" ht="30" hidden="false" customHeight="true" outlineLevel="0" collapsed="false">
      <c r="A67" s="2" t="n">
        <v>66</v>
      </c>
      <c r="B67" s="3" t="s">
        <v>183</v>
      </c>
      <c r="C67" s="3"/>
      <c r="D67" s="7" t="s">
        <v>166</v>
      </c>
      <c r="E67" s="5" t="n">
        <f aca="false">F67*0.35+G67*0.2+H67*0.2+I67*0.1+J67*0.15</f>
        <v>3.3</v>
      </c>
      <c r="F67" s="2" t="n">
        <v>4</v>
      </c>
      <c r="G67" s="2" t="n">
        <v>3</v>
      </c>
      <c r="H67" s="2" t="n">
        <v>4</v>
      </c>
      <c r="I67" s="2" t="n">
        <v>2</v>
      </c>
      <c r="J67" s="2" t="n">
        <v>2</v>
      </c>
      <c r="K67" s="2" t="n">
        <v>242</v>
      </c>
      <c r="L67" s="2" t="n">
        <v>2</v>
      </c>
      <c r="M67" s="2" t="s">
        <v>144</v>
      </c>
      <c r="N67" s="3" t="s">
        <v>145</v>
      </c>
      <c r="O67" s="2" t="s">
        <v>21</v>
      </c>
      <c r="P67" s="2" t="s">
        <v>169</v>
      </c>
      <c r="Q67" s="3" t="s">
        <v>184</v>
      </c>
    </row>
    <row r="68" customFormat="false" ht="30" hidden="false" customHeight="true" outlineLevel="0" collapsed="false">
      <c r="A68" s="2" t="n">
        <v>67</v>
      </c>
      <c r="B68" s="3" t="s">
        <v>185</v>
      </c>
      <c r="C68" s="3"/>
      <c r="D68" s="7" t="s">
        <v>166</v>
      </c>
      <c r="E68" s="5" t="n">
        <f aca="false">F68*0.35+G68*0.2+H68*0.2+I68*0.1+J68*0.15</f>
        <v>3.3</v>
      </c>
      <c r="F68" s="2" t="n">
        <v>4</v>
      </c>
      <c r="G68" s="2" t="n">
        <v>4</v>
      </c>
      <c r="H68" s="2" t="n">
        <v>3</v>
      </c>
      <c r="I68" s="2" t="n">
        <v>2</v>
      </c>
      <c r="J68" s="2" t="n">
        <v>2</v>
      </c>
      <c r="K68" s="2" t="n">
        <v>298</v>
      </c>
      <c r="L68" s="2" t="n">
        <v>2</v>
      </c>
      <c r="M68" s="2" t="s">
        <v>144</v>
      </c>
      <c r="N68" s="3" t="s">
        <v>145</v>
      </c>
      <c r="O68" s="2" t="s">
        <v>21</v>
      </c>
      <c r="P68" s="2" t="s">
        <v>169</v>
      </c>
      <c r="Q68" s="3" t="s">
        <v>186</v>
      </c>
    </row>
    <row r="69" customFormat="false" ht="30" hidden="false" customHeight="true" outlineLevel="0" collapsed="false">
      <c r="A69" s="2" t="n">
        <v>68</v>
      </c>
      <c r="B69" s="3" t="s">
        <v>187</v>
      </c>
      <c r="C69" s="3"/>
      <c r="D69" s="7" t="s">
        <v>166</v>
      </c>
      <c r="E69" s="5" t="n">
        <f aca="false">F69*0.35+G69*0.2+H69*0.2+I69*0.1+J69*0.15</f>
        <v>3.2475</v>
      </c>
      <c r="F69" s="2" t="n">
        <v>4.45</v>
      </c>
      <c r="G69" s="2" t="n">
        <v>1</v>
      </c>
      <c r="H69" s="2" t="n">
        <v>3.2</v>
      </c>
      <c r="I69" s="2" t="n">
        <v>2.5</v>
      </c>
      <c r="J69" s="2" t="n">
        <v>4</v>
      </c>
      <c r="K69" s="2" t="n">
        <v>203</v>
      </c>
      <c r="L69" s="2" t="n">
        <v>2</v>
      </c>
      <c r="M69" s="2" t="s">
        <v>167</v>
      </c>
      <c r="N69" s="3" t="s">
        <v>104</v>
      </c>
      <c r="O69" s="2" t="s">
        <v>73</v>
      </c>
      <c r="P69" s="2" t="s">
        <v>169</v>
      </c>
      <c r="Q69" s="3"/>
    </row>
    <row r="70" customFormat="false" ht="30" hidden="false" customHeight="true" outlineLevel="0" collapsed="false">
      <c r="A70" s="2" t="n">
        <v>69</v>
      </c>
      <c r="B70" s="3" t="s">
        <v>188</v>
      </c>
      <c r="C70" s="3"/>
      <c r="D70" s="7" t="s">
        <v>166</v>
      </c>
      <c r="E70" s="5" t="n">
        <f aca="false">F70*0.35+G70*0.2+H70*0.2+I70*0.1+J70*0.15</f>
        <v>3.246</v>
      </c>
      <c r="F70" s="2" t="n">
        <v>2.74</v>
      </c>
      <c r="G70" s="2" t="n">
        <v>2.42</v>
      </c>
      <c r="H70" s="2" t="n">
        <v>3.2</v>
      </c>
      <c r="I70" s="2" t="n">
        <v>5</v>
      </c>
      <c r="J70" s="2" t="n">
        <v>4.42</v>
      </c>
      <c r="K70" s="2" t="n">
        <v>1411</v>
      </c>
      <c r="L70" s="2" t="n">
        <v>10</v>
      </c>
      <c r="M70" s="2" t="s">
        <v>189</v>
      </c>
      <c r="N70" s="3" t="s">
        <v>190</v>
      </c>
      <c r="O70" s="2" t="s">
        <v>73</v>
      </c>
      <c r="P70" s="2" t="s">
        <v>169</v>
      </c>
      <c r="Q70" s="3"/>
    </row>
    <row r="71" customFormat="false" ht="30" hidden="false" customHeight="true" outlineLevel="0" collapsed="false">
      <c r="A71" s="2" t="n">
        <v>70</v>
      </c>
      <c r="B71" s="3" t="s">
        <v>191</v>
      </c>
      <c r="C71" s="3" t="s">
        <v>165</v>
      </c>
      <c r="D71" s="7" t="s">
        <v>166</v>
      </c>
      <c r="E71" s="5" t="n">
        <f aca="false">F71*0.35+G71*0.2+H71*0.2+I71*0.1+J71*0.15</f>
        <v>3.243</v>
      </c>
      <c r="F71" s="2" t="n">
        <v>2.58</v>
      </c>
      <c r="G71" s="2" t="n">
        <v>5</v>
      </c>
      <c r="H71" s="2" t="n">
        <v>3.2</v>
      </c>
      <c r="I71" s="2" t="n">
        <v>2.5</v>
      </c>
      <c r="J71" s="2" t="n">
        <v>3</v>
      </c>
      <c r="K71" s="2" t="n">
        <v>222</v>
      </c>
      <c r="L71" s="2" t="n">
        <v>2</v>
      </c>
      <c r="M71" s="2" t="s">
        <v>167</v>
      </c>
      <c r="N71" s="3" t="s">
        <v>104</v>
      </c>
      <c r="O71" s="2" t="s">
        <v>73</v>
      </c>
      <c r="P71" s="2" t="s">
        <v>169</v>
      </c>
      <c r="Q71" s="3"/>
    </row>
    <row r="72" customFormat="false" ht="30" hidden="false" customHeight="true" outlineLevel="0" collapsed="false">
      <c r="A72" s="2" t="n">
        <v>71</v>
      </c>
      <c r="B72" s="3" t="s">
        <v>192</v>
      </c>
      <c r="C72" s="3" t="s">
        <v>172</v>
      </c>
      <c r="D72" s="7" t="s">
        <v>166</v>
      </c>
      <c r="E72" s="5" t="n">
        <f aca="false">F72*0.35+G72*0.2+H72*0.2+I72*0.1+J72*0.15</f>
        <v>3.2095</v>
      </c>
      <c r="F72" s="2" t="n">
        <v>2.97</v>
      </c>
      <c r="G72" s="2" t="n">
        <v>1.85</v>
      </c>
      <c r="H72" s="2" t="n">
        <v>3.2</v>
      </c>
      <c r="I72" s="2" t="n">
        <v>5</v>
      </c>
      <c r="J72" s="2" t="n">
        <v>4.4</v>
      </c>
      <c r="K72" s="2" t="n">
        <v>1774</v>
      </c>
      <c r="L72" s="2" t="n">
        <v>13</v>
      </c>
      <c r="M72" s="2" t="s">
        <v>84</v>
      </c>
      <c r="N72" s="3" t="s">
        <v>96</v>
      </c>
      <c r="O72" s="2" t="s">
        <v>73</v>
      </c>
      <c r="P72" s="2" t="s">
        <v>169</v>
      </c>
      <c r="Q72" s="3"/>
    </row>
    <row r="73" customFormat="false" ht="30" hidden="false" customHeight="true" outlineLevel="0" collapsed="false">
      <c r="A73" s="2" t="n">
        <v>72</v>
      </c>
      <c r="B73" s="3" t="s">
        <v>193</v>
      </c>
      <c r="C73" s="3"/>
      <c r="D73" s="7" t="s">
        <v>166</v>
      </c>
      <c r="E73" s="5" t="n">
        <f aca="false">F73*0.35+G73*0.2+H73*0.2+I73*0.1+J73*0.15</f>
        <v>3.208</v>
      </c>
      <c r="F73" s="2" t="n">
        <v>3.4</v>
      </c>
      <c r="G73" s="2" t="n">
        <v>1.23</v>
      </c>
      <c r="H73" s="2" t="n">
        <v>3.2</v>
      </c>
      <c r="I73" s="2" t="n">
        <v>4</v>
      </c>
      <c r="J73" s="2" t="n">
        <v>4.88</v>
      </c>
      <c r="K73" s="2" t="n">
        <v>2189</v>
      </c>
      <c r="L73" s="2" t="n">
        <v>16</v>
      </c>
      <c r="M73" s="2" t="s">
        <v>26</v>
      </c>
      <c r="N73" s="3" t="s">
        <v>27</v>
      </c>
      <c r="O73" s="2" t="s">
        <v>73</v>
      </c>
      <c r="P73" s="2" t="s">
        <v>169</v>
      </c>
      <c r="Q73" s="3"/>
    </row>
    <row r="74" customFormat="false" ht="30" hidden="false" customHeight="true" outlineLevel="0" collapsed="false">
      <c r="A74" s="2" t="n">
        <v>73</v>
      </c>
      <c r="B74" s="3" t="s">
        <v>194</v>
      </c>
      <c r="C74" s="3" t="s">
        <v>99</v>
      </c>
      <c r="D74" s="7" t="s">
        <v>166</v>
      </c>
      <c r="E74" s="5" t="n">
        <f aca="false">F74*0.35+G74*0.2+H74*0.2+I74*0.1+J74*0.15</f>
        <v>3.1845</v>
      </c>
      <c r="F74" s="2" t="n">
        <v>3.47</v>
      </c>
      <c r="G74" s="2" t="n">
        <v>2.5</v>
      </c>
      <c r="H74" s="2" t="n">
        <v>3.2</v>
      </c>
      <c r="I74" s="2" t="n">
        <v>5</v>
      </c>
      <c r="J74" s="2" t="n">
        <v>2.2</v>
      </c>
      <c r="K74" s="2" t="n">
        <v>992</v>
      </c>
      <c r="L74" s="2" t="n">
        <v>7</v>
      </c>
      <c r="M74" s="2" t="s">
        <v>100</v>
      </c>
      <c r="N74" s="3" t="s">
        <v>101</v>
      </c>
      <c r="O74" s="2" t="s">
        <v>73</v>
      </c>
      <c r="P74" s="2" t="s">
        <v>169</v>
      </c>
      <c r="Q74" s="3"/>
    </row>
    <row r="75" customFormat="false" ht="30" hidden="false" customHeight="true" outlineLevel="0" collapsed="false">
      <c r="A75" s="2" t="n">
        <v>74</v>
      </c>
      <c r="B75" s="3" t="s">
        <v>195</v>
      </c>
      <c r="C75" s="3" t="s">
        <v>35</v>
      </c>
      <c r="D75" s="7" t="s">
        <v>166</v>
      </c>
      <c r="E75" s="5" t="n">
        <f aca="false">F75*0.35+G75*0.2+H75*0.2+I75*0.1+J75*0.15</f>
        <v>3.1755</v>
      </c>
      <c r="F75" s="2" t="n">
        <v>2.21</v>
      </c>
      <c r="G75" s="2" t="n">
        <v>2.65</v>
      </c>
      <c r="H75" s="2" t="n">
        <v>3.2</v>
      </c>
      <c r="I75" s="2" t="n">
        <v>5</v>
      </c>
      <c r="J75" s="2" t="n">
        <v>4.88</v>
      </c>
      <c r="K75" s="2" t="n">
        <v>1741</v>
      </c>
      <c r="L75" s="2" t="n">
        <v>13</v>
      </c>
      <c r="M75" s="2" t="s">
        <v>161</v>
      </c>
      <c r="N75" s="3" t="s">
        <v>162</v>
      </c>
      <c r="O75" s="2" t="s">
        <v>73</v>
      </c>
      <c r="P75" s="2" t="s">
        <v>169</v>
      </c>
      <c r="Q75" s="3"/>
    </row>
    <row r="76" customFormat="false" ht="30" hidden="false" customHeight="true" outlineLevel="0" collapsed="false">
      <c r="A76" s="2" t="n">
        <v>75</v>
      </c>
      <c r="B76" s="3" t="s">
        <v>196</v>
      </c>
      <c r="C76" s="3"/>
      <c r="D76" s="7" t="s">
        <v>166</v>
      </c>
      <c r="E76" s="5" t="n">
        <f aca="false">F76*0.35+G76*0.2+H76*0.2+I76*0.1+J76*0.15</f>
        <v>3.119</v>
      </c>
      <c r="F76" s="2" t="n">
        <v>2.68</v>
      </c>
      <c r="G76" s="2" t="n">
        <v>1.8</v>
      </c>
      <c r="H76" s="2" t="n">
        <v>3.2</v>
      </c>
      <c r="I76" s="2" t="n">
        <v>5</v>
      </c>
      <c r="J76" s="2" t="n">
        <v>4.54</v>
      </c>
      <c r="K76" s="2" t="n">
        <v>1875</v>
      </c>
      <c r="L76" s="2" t="n">
        <v>14</v>
      </c>
      <c r="M76" s="2" t="s">
        <v>84</v>
      </c>
      <c r="N76" s="3" t="s">
        <v>96</v>
      </c>
      <c r="O76" s="2" t="s">
        <v>73</v>
      </c>
      <c r="P76" s="2" t="s">
        <v>169</v>
      </c>
      <c r="Q76" s="3"/>
    </row>
    <row r="77" customFormat="false" ht="30" hidden="false" customHeight="true" outlineLevel="0" collapsed="false">
      <c r="A77" s="2" t="n">
        <v>76</v>
      </c>
      <c r="B77" s="3" t="s">
        <v>197</v>
      </c>
      <c r="C77" s="3"/>
      <c r="D77" s="7" t="s">
        <v>166</v>
      </c>
      <c r="E77" s="5" t="n">
        <f aca="false">F77*0.35+G77*0.2+H77*0.2+I77*0.1+J77*0.15</f>
        <v>3.043</v>
      </c>
      <c r="F77" s="2" t="n">
        <v>3.51</v>
      </c>
      <c r="G77" s="2" t="n">
        <v>1</v>
      </c>
      <c r="H77" s="2" t="n">
        <v>3.2</v>
      </c>
      <c r="I77" s="2" t="n">
        <v>4</v>
      </c>
      <c r="J77" s="2" t="n">
        <v>3.83</v>
      </c>
      <c r="K77" s="2" t="n">
        <v>557</v>
      </c>
      <c r="L77" s="2" t="n">
        <v>4</v>
      </c>
      <c r="M77" s="2" t="s">
        <v>119</v>
      </c>
      <c r="N77" s="3" t="s">
        <v>120</v>
      </c>
      <c r="O77" s="2" t="s">
        <v>73</v>
      </c>
      <c r="P77" s="2" t="s">
        <v>169</v>
      </c>
      <c r="Q77" s="3"/>
    </row>
    <row r="78" customFormat="false" ht="30" hidden="false" customHeight="true" outlineLevel="0" collapsed="false">
      <c r="A78" s="2" t="n">
        <v>77</v>
      </c>
      <c r="B78" s="3" t="s">
        <v>198</v>
      </c>
      <c r="C78" s="3"/>
      <c r="D78" s="7" t="s">
        <v>166</v>
      </c>
      <c r="E78" s="5" t="n">
        <f aca="false">F78*0.35+G78*0.2+H78*0.2+I78*0.1+J78*0.15</f>
        <v>3.019</v>
      </c>
      <c r="F78" s="2" t="n">
        <v>2.51</v>
      </c>
      <c r="G78" s="2" t="n">
        <v>1.86</v>
      </c>
      <c r="H78" s="2" t="n">
        <v>3.2</v>
      </c>
      <c r="I78" s="2" t="n">
        <v>5</v>
      </c>
      <c r="J78" s="2" t="n">
        <v>4.19</v>
      </c>
      <c r="K78" s="2" t="n">
        <v>1159</v>
      </c>
      <c r="L78" s="2" t="n">
        <v>9</v>
      </c>
      <c r="M78" s="2" t="s">
        <v>157</v>
      </c>
      <c r="N78" s="3" t="s">
        <v>158</v>
      </c>
      <c r="O78" s="2" t="s">
        <v>73</v>
      </c>
      <c r="P78" s="2" t="s">
        <v>169</v>
      </c>
      <c r="Q78" s="3"/>
    </row>
    <row r="79" customFormat="false" ht="30" hidden="false" customHeight="true" outlineLevel="0" collapsed="false">
      <c r="A79" s="2" t="n">
        <v>78</v>
      </c>
      <c r="B79" s="3" t="s">
        <v>199</v>
      </c>
      <c r="C79" s="3" t="s">
        <v>172</v>
      </c>
      <c r="D79" s="8" t="s">
        <v>200</v>
      </c>
      <c r="E79" s="5" t="n">
        <f aca="false">F79*0.35+G79*0.2+H79*0.2+I79*0.1+J79*0.15</f>
        <v>2.988</v>
      </c>
      <c r="F79" s="2" t="n">
        <v>2.58</v>
      </c>
      <c r="G79" s="2" t="n">
        <v>1.32</v>
      </c>
      <c r="H79" s="2" t="n">
        <v>3.2</v>
      </c>
      <c r="I79" s="2" t="n">
        <v>5</v>
      </c>
      <c r="J79" s="2" t="n">
        <v>4.54</v>
      </c>
      <c r="K79" s="2" t="n">
        <v>1548</v>
      </c>
      <c r="L79" s="2" t="n">
        <v>11</v>
      </c>
      <c r="M79" s="2" t="s">
        <v>84</v>
      </c>
      <c r="N79" s="3" t="s">
        <v>96</v>
      </c>
      <c r="O79" s="2" t="s">
        <v>73</v>
      </c>
      <c r="P79" s="2" t="s">
        <v>169</v>
      </c>
      <c r="Q79" s="3"/>
    </row>
    <row r="80" customFormat="false" ht="30" hidden="false" customHeight="true" outlineLevel="0" collapsed="false">
      <c r="A80" s="2" t="n">
        <v>79</v>
      </c>
      <c r="B80" s="3" t="s">
        <v>201</v>
      </c>
      <c r="C80" s="3"/>
      <c r="D80" s="8" t="s">
        <v>200</v>
      </c>
      <c r="E80" s="5" t="n">
        <f aca="false">F80*0.35+G80*0.2+H80*0.2+I80*0.1+J80*0.15</f>
        <v>2.837</v>
      </c>
      <c r="F80" s="2" t="n">
        <v>2.39</v>
      </c>
      <c r="G80" s="2" t="n">
        <v>2.59</v>
      </c>
      <c r="H80" s="2" t="n">
        <v>3.2</v>
      </c>
      <c r="I80" s="2" t="n">
        <v>2.5</v>
      </c>
      <c r="J80" s="2" t="n">
        <v>3.95</v>
      </c>
      <c r="K80" s="2" t="n">
        <v>2760</v>
      </c>
      <c r="L80" s="2" t="n">
        <v>20</v>
      </c>
      <c r="M80" s="2" t="s">
        <v>202</v>
      </c>
      <c r="N80" s="3" t="s">
        <v>203</v>
      </c>
      <c r="O80" s="2" t="s">
        <v>73</v>
      </c>
      <c r="P80" s="2" t="s">
        <v>169</v>
      </c>
      <c r="Q80" s="3"/>
    </row>
    <row r="81" customFormat="false" ht="30" hidden="false" customHeight="true" outlineLevel="0" collapsed="false">
      <c r="A81" s="2" t="n">
        <v>80</v>
      </c>
      <c r="B81" s="3" t="s">
        <v>204</v>
      </c>
      <c r="C81" s="3"/>
      <c r="D81" s="8" t="s">
        <v>200</v>
      </c>
      <c r="E81" s="5" t="n">
        <f aca="false">F81*0.35+G81*0.2+H81*0.2+I81*0.1+J81*0.15</f>
        <v>2.7335</v>
      </c>
      <c r="F81" s="2" t="n">
        <v>2.09</v>
      </c>
      <c r="G81" s="2" t="n">
        <v>2.89</v>
      </c>
      <c r="H81" s="2" t="n">
        <v>3.2</v>
      </c>
      <c r="I81" s="2" t="n">
        <v>2.5</v>
      </c>
      <c r="J81" s="2" t="n">
        <v>3.56</v>
      </c>
      <c r="K81" s="2" t="n">
        <v>2567</v>
      </c>
      <c r="L81" s="2" t="n">
        <v>19</v>
      </c>
      <c r="M81" s="2" t="s">
        <v>26</v>
      </c>
      <c r="N81" s="3" t="s">
        <v>27</v>
      </c>
      <c r="O81" s="2" t="s">
        <v>73</v>
      </c>
      <c r="P81" s="2" t="s">
        <v>169</v>
      </c>
      <c r="Q81" s="3"/>
    </row>
    <row r="82" customFormat="false" ht="30" hidden="false" customHeight="true" outlineLevel="0" collapsed="false">
      <c r="A82" s="2" t="n">
        <v>81</v>
      </c>
      <c r="B82" s="3" t="s">
        <v>205</v>
      </c>
      <c r="C82" s="3" t="s">
        <v>165</v>
      </c>
      <c r="D82" s="8" t="s">
        <v>200</v>
      </c>
      <c r="E82" s="5" t="n">
        <f aca="false">F82*0.35+G82*0.2+H82*0.2+I82*0.1+J82*0.15</f>
        <v>2.3</v>
      </c>
      <c r="F82" s="2" t="n">
        <v>2</v>
      </c>
      <c r="G82" s="2" t="n">
        <v>2</v>
      </c>
      <c r="H82" s="2" t="n">
        <v>3</v>
      </c>
      <c r="I82" s="2" t="n">
        <v>3</v>
      </c>
      <c r="J82" s="2" t="n">
        <v>2</v>
      </c>
      <c r="K82" s="2" t="n">
        <v>197</v>
      </c>
      <c r="L82" s="2" t="n">
        <v>1</v>
      </c>
      <c r="M82" s="2" t="s">
        <v>167</v>
      </c>
      <c r="N82" s="3" t="s">
        <v>104</v>
      </c>
      <c r="O82" s="2" t="s">
        <v>21</v>
      </c>
      <c r="P82" s="2" t="s">
        <v>169</v>
      </c>
      <c r="Q82" s="3" t="s">
        <v>206</v>
      </c>
    </row>
    <row r="83" customFormat="false" ht="30" hidden="false" customHeight="true" outlineLevel="0" collapsed="false">
      <c r="A83" s="2" t="n">
        <v>82</v>
      </c>
      <c r="B83" s="3" t="s">
        <v>207</v>
      </c>
      <c r="C83" s="3"/>
      <c r="D83" s="8" t="s">
        <v>200</v>
      </c>
      <c r="E83" s="5" t="n">
        <f aca="false">F83*0.35+G83*0.2+H83*0.2+I83*0.1+J83*0.15</f>
        <v>2.3</v>
      </c>
      <c r="F83" s="2" t="n">
        <v>2</v>
      </c>
      <c r="G83" s="2" t="n">
        <v>2</v>
      </c>
      <c r="H83" s="2" t="n">
        <v>3</v>
      </c>
      <c r="I83" s="2" t="n">
        <v>3</v>
      </c>
      <c r="J83" s="2" t="n">
        <v>2</v>
      </c>
      <c r="K83" s="2" t="n">
        <v>266</v>
      </c>
      <c r="L83" s="2" t="n">
        <v>2</v>
      </c>
      <c r="M83" s="2" t="s">
        <v>167</v>
      </c>
      <c r="N83" s="3" t="s">
        <v>104</v>
      </c>
      <c r="O83" s="2" t="s">
        <v>21</v>
      </c>
      <c r="P83" s="2" t="s">
        <v>169</v>
      </c>
      <c r="Q83" s="3" t="s">
        <v>206</v>
      </c>
    </row>
    <row r="84" customFormat="false" ht="30" hidden="false" customHeight="true" outlineLevel="0" collapsed="false">
      <c r="A84" s="2" t="n">
        <v>83</v>
      </c>
      <c r="B84" s="3" t="s">
        <v>208</v>
      </c>
      <c r="C84" s="3" t="s">
        <v>165</v>
      </c>
      <c r="D84" s="8" t="s">
        <v>200</v>
      </c>
      <c r="E84" s="5" t="n">
        <f aca="false">F84*0.35+G84*0.2+H84*0.2+I84*0.1+J84*0.15</f>
        <v>2.3</v>
      </c>
      <c r="F84" s="2" t="n">
        <v>2</v>
      </c>
      <c r="G84" s="2" t="n">
        <v>2</v>
      </c>
      <c r="H84" s="2" t="n">
        <v>3</v>
      </c>
      <c r="I84" s="2" t="n">
        <v>3</v>
      </c>
      <c r="J84" s="2" t="n">
        <v>2</v>
      </c>
      <c r="K84" s="2" t="n">
        <v>252</v>
      </c>
      <c r="L84" s="2" t="n">
        <v>2</v>
      </c>
      <c r="M84" s="2" t="s">
        <v>167</v>
      </c>
      <c r="N84" s="3" t="s">
        <v>104</v>
      </c>
      <c r="O84" s="2" t="s">
        <v>21</v>
      </c>
      <c r="P84" s="2" t="s">
        <v>169</v>
      </c>
      <c r="Q84" s="3" t="s">
        <v>206</v>
      </c>
    </row>
    <row r="85" customFormat="false" ht="30" hidden="false" customHeight="true" outlineLevel="0" collapsed="false">
      <c r="A85" s="2" t="n">
        <v>84</v>
      </c>
      <c r="B85" s="3" t="s">
        <v>209</v>
      </c>
      <c r="C85" s="3" t="s">
        <v>165</v>
      </c>
      <c r="D85" s="8" t="s">
        <v>200</v>
      </c>
      <c r="E85" s="5" t="n">
        <f aca="false">F85*0.35+G85*0.2+H85*0.2+I85*0.1+J85*0.15</f>
        <v>2.3</v>
      </c>
      <c r="F85" s="2" t="n">
        <v>2</v>
      </c>
      <c r="G85" s="2" t="n">
        <v>2</v>
      </c>
      <c r="H85" s="2" t="n">
        <v>3</v>
      </c>
      <c r="I85" s="2" t="n">
        <v>3</v>
      </c>
      <c r="J85" s="2" t="n">
        <v>2</v>
      </c>
      <c r="K85" s="2" t="n">
        <v>206</v>
      </c>
      <c r="L85" s="2" t="n">
        <v>2</v>
      </c>
      <c r="M85" s="2" t="s">
        <v>167</v>
      </c>
      <c r="N85" s="3" t="s">
        <v>104</v>
      </c>
      <c r="O85" s="2" t="s">
        <v>21</v>
      </c>
      <c r="P85" s="2" t="s">
        <v>169</v>
      </c>
      <c r="Q85" s="3" t="s">
        <v>206</v>
      </c>
    </row>
    <row r="86" customFormat="false" ht="30" hidden="false" customHeight="true" outlineLevel="0" collapsed="false">
      <c r="A86" s="2" t="n">
        <v>85</v>
      </c>
      <c r="B86" s="3" t="s">
        <v>210</v>
      </c>
      <c r="C86" s="3" t="s">
        <v>165</v>
      </c>
      <c r="D86" s="8" t="s">
        <v>200</v>
      </c>
      <c r="E86" s="5" t="n">
        <f aca="false">F86*0.35+G86*0.2+H86*0.2+I86*0.1+J86*0.15</f>
        <v>2.3</v>
      </c>
      <c r="F86" s="2" t="n">
        <v>2</v>
      </c>
      <c r="G86" s="2" t="n">
        <v>2</v>
      </c>
      <c r="H86" s="2" t="n">
        <v>3</v>
      </c>
      <c r="I86" s="2" t="n">
        <v>3</v>
      </c>
      <c r="J86" s="2" t="n">
        <v>2</v>
      </c>
      <c r="K86" s="2" t="n">
        <v>223</v>
      </c>
      <c r="L86" s="2" t="n">
        <v>2</v>
      </c>
      <c r="M86" s="2" t="s">
        <v>167</v>
      </c>
      <c r="N86" s="3" t="s">
        <v>104</v>
      </c>
      <c r="O86" s="2" t="s">
        <v>21</v>
      </c>
      <c r="P86" s="2" t="s">
        <v>169</v>
      </c>
      <c r="Q86" s="3" t="s">
        <v>211</v>
      </c>
    </row>
  </sheetData>
  <autoFilter ref="A1:Q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9" t="s">
        <v>212</v>
      </c>
      <c r="B1" s="9"/>
      <c r="C1" s="9"/>
      <c r="D1" s="9"/>
    </row>
    <row r="2" customFormat="false" ht="15" hidden="false" customHeight="true" outlineLevel="0" collapsed="false">
      <c r="A2" s="10" t="s">
        <v>213</v>
      </c>
      <c r="B2" s="10"/>
      <c r="C2" s="10"/>
      <c r="D2" s="10"/>
    </row>
    <row r="3" customFormat="false" ht="15" hidden="false" customHeight="false" outlineLevel="0" collapsed="false">
      <c r="A3" s="10"/>
      <c r="B3" s="10"/>
      <c r="C3" s="10"/>
      <c r="D3" s="10"/>
    </row>
    <row r="4" customFormat="false" ht="15" hidden="false" customHeight="false" outlineLevel="0" collapsed="false">
      <c r="A4" s="10"/>
      <c r="B4" s="10"/>
      <c r="C4" s="10"/>
      <c r="D4" s="10"/>
    </row>
    <row r="5" customFormat="false" ht="15" hidden="false" customHeight="false" outlineLevel="0" collapsed="false">
      <c r="A5" s="10"/>
      <c r="B5" s="10"/>
      <c r="C5" s="10"/>
      <c r="D5" s="10"/>
    </row>
    <row r="7" customFormat="false" ht="15" hidden="false" customHeight="false" outlineLevel="0" collapsed="false">
      <c r="A7" s="11" t="s">
        <v>214</v>
      </c>
      <c r="B7" s="11" t="s">
        <v>215</v>
      </c>
      <c r="C7" s="12" t="s">
        <v>216</v>
      </c>
    </row>
    <row r="8" customFormat="false" ht="30" hidden="false" customHeight="true" outlineLevel="0" collapsed="false">
      <c r="A8" s="2" t="s">
        <v>217</v>
      </c>
      <c r="B8" s="2" t="s">
        <v>218</v>
      </c>
      <c r="C8" s="3" t="s">
        <v>219</v>
      </c>
    </row>
    <row r="9" customFormat="false" ht="30" hidden="false" customHeight="true" outlineLevel="0" collapsed="false">
      <c r="A9" s="2" t="s">
        <v>220</v>
      </c>
      <c r="B9" s="2" t="s">
        <v>221</v>
      </c>
      <c r="C9" s="3" t="s">
        <v>222</v>
      </c>
    </row>
    <row r="10" customFormat="false" ht="30" hidden="false" customHeight="true" outlineLevel="0" collapsed="false">
      <c r="A10" s="2" t="s">
        <v>223</v>
      </c>
      <c r="B10" s="2" t="s">
        <v>221</v>
      </c>
      <c r="C10" s="3" t="s">
        <v>224</v>
      </c>
    </row>
    <row r="11" customFormat="false" ht="30" hidden="false" customHeight="true" outlineLevel="0" collapsed="false">
      <c r="A11" s="2" t="s">
        <v>225</v>
      </c>
      <c r="B11" s="2" t="s">
        <v>226</v>
      </c>
      <c r="C11" s="3" t="s">
        <v>227</v>
      </c>
    </row>
    <row r="12" customFormat="false" ht="15" hidden="false" customHeight="false" outlineLevel="0" collapsed="false">
      <c r="A12" s="2" t="s">
        <v>228</v>
      </c>
      <c r="B12" s="2" t="s">
        <v>229</v>
      </c>
      <c r="C12" s="3" t="s">
        <v>230</v>
      </c>
    </row>
    <row r="14" customFormat="false" ht="15" hidden="false" customHeight="false" outlineLevel="0" collapsed="false">
      <c r="A14" s="13" t="s">
        <v>231</v>
      </c>
    </row>
    <row r="15" customFormat="false" ht="15" hidden="false" customHeight="true" outlineLevel="0" collapsed="false">
      <c r="A15" s="14" t="s">
        <v>18</v>
      </c>
      <c r="B15" s="15" t="s">
        <v>232</v>
      </c>
      <c r="C15" s="15"/>
    </row>
    <row r="16" customFormat="false" ht="15" hidden="false" customHeight="true" outlineLevel="0" collapsed="false">
      <c r="A16" s="16" t="s">
        <v>107</v>
      </c>
      <c r="B16" s="15" t="s">
        <v>233</v>
      </c>
      <c r="C16" s="15"/>
    </row>
    <row r="17" customFormat="false" ht="15" hidden="false" customHeight="true" outlineLevel="0" collapsed="false">
      <c r="A17" s="17" t="s">
        <v>166</v>
      </c>
      <c r="B17" s="15" t="s">
        <v>234</v>
      </c>
      <c r="C17" s="15"/>
    </row>
    <row r="18" customFormat="false" ht="15" hidden="false" customHeight="true" outlineLevel="0" collapsed="false">
      <c r="A18" s="18" t="s">
        <v>200</v>
      </c>
      <c r="B18" s="15" t="s">
        <v>235</v>
      </c>
      <c r="C18" s="15"/>
    </row>
  </sheetData>
  <mergeCells count="6">
    <mergeCell ref="A1:D1"/>
    <mergeCell ref="A2:D5"/>
    <mergeCell ref="B15:C15"/>
    <mergeCell ref="B16:C16"/>
    <mergeCell ref="B17:C17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9" t="s">
        <v>236</v>
      </c>
      <c r="B1" s="19"/>
      <c r="C1" s="19"/>
    </row>
    <row r="3" customFormat="false" ht="15" hidden="false" customHeight="false" outlineLevel="0" collapsed="false">
      <c r="A3" s="11" t="s">
        <v>1</v>
      </c>
      <c r="B3" s="11" t="s">
        <v>3</v>
      </c>
      <c r="C3" s="11" t="s">
        <v>237</v>
      </c>
    </row>
    <row r="4" customFormat="false" ht="23.85" hidden="false" customHeight="false" outlineLevel="0" collapsed="false">
      <c r="A4" s="2" t="s">
        <v>24</v>
      </c>
      <c r="B4" s="2" t="s">
        <v>18</v>
      </c>
      <c r="C4" s="3" t="s">
        <v>238</v>
      </c>
    </row>
    <row r="5" customFormat="false" ht="15" hidden="false" customHeight="false" outlineLevel="0" collapsed="false">
      <c r="A5" s="2" t="s">
        <v>29</v>
      </c>
      <c r="B5" s="2" t="s">
        <v>18</v>
      </c>
      <c r="C5" s="3" t="s">
        <v>239</v>
      </c>
    </row>
    <row r="6" customFormat="false" ht="15" hidden="false" customHeight="false" outlineLevel="0" collapsed="false">
      <c r="A6" s="2" t="s">
        <v>51</v>
      </c>
      <c r="B6" s="2" t="s">
        <v>18</v>
      </c>
      <c r="C6" s="3" t="s">
        <v>240</v>
      </c>
    </row>
    <row r="7" customFormat="false" ht="15" hidden="false" customHeight="false" outlineLevel="0" collapsed="false">
      <c r="A7" s="2" t="s">
        <v>53</v>
      </c>
      <c r="B7" s="2" t="s">
        <v>18</v>
      </c>
      <c r="C7" s="3" t="s">
        <v>241</v>
      </c>
    </row>
    <row r="8" customFormat="false" ht="15" hidden="false" customHeight="false" outlineLevel="0" collapsed="false">
      <c r="A8" s="2" t="s">
        <v>55</v>
      </c>
      <c r="B8" s="2" t="s">
        <v>18</v>
      </c>
      <c r="C8" s="3" t="s">
        <v>242</v>
      </c>
    </row>
    <row r="9" customFormat="false" ht="15" hidden="false" customHeight="false" outlineLevel="0" collapsed="false">
      <c r="A9" s="2" t="s">
        <v>57</v>
      </c>
      <c r="B9" s="2" t="s">
        <v>18</v>
      </c>
      <c r="C9" s="3" t="s">
        <v>243</v>
      </c>
    </row>
    <row r="10" customFormat="false" ht="15" hidden="false" customHeight="false" outlineLevel="0" collapsed="false">
      <c r="A10" s="2" t="s">
        <v>60</v>
      </c>
      <c r="B10" s="2" t="s">
        <v>18</v>
      </c>
      <c r="C10" s="3" t="s">
        <v>244</v>
      </c>
    </row>
    <row r="11" customFormat="false" ht="15" hidden="false" customHeight="false" outlineLevel="0" collapsed="false">
      <c r="A11" s="2" t="s">
        <v>74</v>
      </c>
      <c r="B11" s="2" t="s">
        <v>18</v>
      </c>
      <c r="C11" s="3" t="s">
        <v>245</v>
      </c>
    </row>
    <row r="12" customFormat="false" ht="15" hidden="false" customHeight="false" outlineLevel="0" collapsed="false">
      <c r="A12" s="2" t="s">
        <v>76</v>
      </c>
      <c r="B12" s="2" t="s">
        <v>18</v>
      </c>
      <c r="C12" s="3" t="s">
        <v>246</v>
      </c>
    </row>
    <row r="13" customFormat="false" ht="15" hidden="false" customHeight="false" outlineLevel="0" collapsed="false">
      <c r="A13" s="2" t="s">
        <v>86</v>
      </c>
      <c r="B13" s="2" t="s">
        <v>18</v>
      </c>
      <c r="C13" s="3" t="s">
        <v>247</v>
      </c>
    </row>
    <row r="14" customFormat="false" ht="15" hidden="false" customHeight="false" outlineLevel="0" collapsed="false">
      <c r="A14" s="2" t="s">
        <v>91</v>
      </c>
      <c r="B14" s="2" t="s">
        <v>18</v>
      </c>
      <c r="C14" s="3" t="s">
        <v>248</v>
      </c>
    </row>
    <row r="15" customFormat="false" ht="15" hidden="false" customHeight="false" outlineLevel="0" collapsed="false">
      <c r="A15" s="2" t="s">
        <v>93</v>
      </c>
      <c r="B15" s="2" t="s">
        <v>18</v>
      </c>
      <c r="C15" s="3" t="s">
        <v>249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2026-07-06T16:56:59Z</dcterms:created>
  <dc:creator>openpyxl</dc:creator>
  <dc:description/>
  <dc:language>en-US</dc:language>
  <cp:lastModifiedBy/>
  <dcterms:modified xsi:type="dcterms:W3CDTF">2026-07-06T16:56:59Z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